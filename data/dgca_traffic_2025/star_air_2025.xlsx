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December 2025 Monthly Data to be uploaded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<sst xmlns="http://schemas.openxmlformats.org/spreadsheetml/2006/main" count="157" uniqueCount="44">
  <si>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</si>
  <si>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</si>
  <si>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</si>
  <si>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</si>
  <si>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</si>
  <si>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</si>
  <si>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</si>
  <si>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</si>
  <si>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</si>
  <si>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</si>
  <si>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</si>
  <si>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</si>
  <si>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</si>
  <si>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</si>
  <si>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</si>
  <si>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</si>
  <si>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</si>
  <si>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</si>
  <si>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</si>
  <si>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</si>
  <si>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</si>
  <si>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</si>
  <si>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</si>
  <si>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</si>
  <si>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</si>
  <si>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</si>
  <si>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</si>
  <si>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</si>
  <si>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</si>
  <si>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</si>
  <si>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</si>
  <si>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</si>
  <si>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</si>
  <si>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</si>
  <si>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</si>
  <si>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</si>
  <si>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</si>
  <si>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</si>
  <si>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</si>
  <si>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</si>
  <si>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</si>
  <si>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STAR AIR</t>
  </si>
  <si>
    <t>2025</t>
  </si>
  <si>
    <t>SOURCE:-ICAO ATR FORM A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</si>
</sst>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/>
  <dimension ref="A1:Q494"/>
  <sheetViews>
    <sheetView showGridLines="0" tabSelected="1" view="pageBreakPreview" topLeftCell="A4" zoomScaleNormal="85" zoomScaleSheetLayoutView="100" workbookViewId="0">
      <selection activeCell="A19" sqref="A19:Q19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1165</v>
      </c>
      <c r="C4" s="21">
        <v>1569</v>
      </c>
      <c r="D4" s="22">
        <v>663.12199999999996</v>
      </c>
      <c r="E4" s="23">
        <v>62994</v>
      </c>
      <c r="F4" s="21">
        <v>36718.377</v>
      </c>
      <c r="G4" s="21">
        <v>46102.955999999998</v>
      </c>
      <c r="H4" s="25">
        <v>79.64</v>
      </c>
      <c r="I4" s="26">
        <v>0</v>
      </c>
      <c r="J4" s="27">
        <v>0</v>
      </c>
      <c r="K4" s="25">
        <v>0</v>
      </c>
      <c r="L4" s="26">
        <v>3302</v>
      </c>
      <c r="M4" s="27">
        <v>0</v>
      </c>
      <c r="N4" s="27">
        <v>0</v>
      </c>
      <c r="O4" s="25">
        <v>3302</v>
      </c>
      <c r="P4" s="27">
        <v>4149.2660400000004</v>
      </c>
      <c r="Q4" s="25">
        <v>79.58</v>
      </c>
    </row>
    <row r="5" spans="1:17" ht="23.1" customHeight="1" x14ac:dyDescent="0.25">
      <c r="A5" s="43" t="s">
        <v>20</v>
      </c>
      <c r="B5" s="64">
        <v>1071</v>
      </c>
      <c r="C5" s="64">
        <v>1460.0833333333301</v>
      </c>
      <c r="D5" s="53">
        <v>610.87300000000005</v>
      </c>
      <c r="E5" s="75">
        <v>59935</v>
      </c>
      <c r="F5" s="64">
        <v>35512</v>
      </c>
      <c r="G5" s="64">
        <v>42742</v>
      </c>
      <c r="H5" s="84">
        <v>83.08</v>
      </c>
      <c r="I5" s="93">
        <v>0</v>
      </c>
      <c r="J5" s="102">
        <v>0</v>
      </c>
      <c r="K5" s="84">
        <v>0</v>
      </c>
      <c r="L5" s="93">
        <v>3195</v>
      </c>
      <c r="M5" s="102">
        <v>0</v>
      </c>
      <c r="N5" s="102">
        <v>0</v>
      </c>
      <c r="O5" s="84">
        <v>3195</v>
      </c>
      <c r="P5" s="102">
        <v>3849</v>
      </c>
      <c r="Q5" s="84">
        <v>83.01</v>
      </c>
    </row>
    <row r="6" spans="1:17" ht="23.1" customHeight="1" x14ac:dyDescent="0.25">
      <c r="A6" s="45" t="s">
        <v>21</v>
      </c>
      <c r="B6" s="29">
        <v>1179</v>
      </c>
      <c r="C6" s="29">
        <v>1608.5833333333301</v>
      </c>
      <c r="D6" s="28">
        <v>686.45100000000002</v>
      </c>
      <c r="E6" s="30">
        <v>60714</v>
      </c>
      <c r="F6" s="29">
        <v>35061</v>
      </c>
      <c r="G6" s="29">
        <v>47535</v>
      </c>
      <c r="H6" s="31">
        <v>73.760000000000005</v>
      </c>
      <c r="I6" s="32">
        <v>0</v>
      </c>
      <c r="J6" s="33">
        <v>0</v>
      </c>
      <c r="K6" s="31">
        <v>0</v>
      </c>
      <c r="L6" s="32">
        <v>3263</v>
      </c>
      <c r="M6" s="33">
        <v>0</v>
      </c>
      <c r="N6" s="33">
        <v>0</v>
      </c>
      <c r="O6" s="31">
        <v>3263</v>
      </c>
      <c r="P6" s="33">
        <v>4277</v>
      </c>
      <c r="Q6" s="31">
        <v>76.290000000000006</v>
      </c>
    </row>
    <row r="7" spans="1:17" ht="23.1" customHeight="1" x14ac:dyDescent="0.25">
      <c r="A7" s="43" t="s">
        <v>22</v>
      </c>
      <c r="B7" s="64">
        <v>1157</v>
      </c>
      <c r="C7" s="64">
        <v>1712.1666666666699</v>
      </c>
      <c r="D7" s="53">
        <v>668.27300000000002</v>
      </c>
      <c r="E7" s="75">
        <v>61565</v>
      </c>
      <c r="F7" s="64">
        <v>36459.127999999997</v>
      </c>
      <c r="G7" s="64">
        <v>45745.112000000001</v>
      </c>
      <c r="H7" s="84">
        <v>79.7</v>
      </c>
      <c r="I7" s="93">
        <v>0</v>
      </c>
      <c r="J7" s="102">
        <v>0</v>
      </c>
      <c r="K7" s="84">
        <v>0</v>
      </c>
      <c r="L7" s="93">
        <v>3281.32152</v>
      </c>
      <c r="M7" s="102">
        <v>0</v>
      </c>
      <c r="N7" s="102">
        <v>0</v>
      </c>
      <c r="O7" s="84">
        <v>3281.32152</v>
      </c>
      <c r="P7" s="102">
        <v>4117.0600800000002</v>
      </c>
      <c r="Q7" s="84">
        <v>79.7</v>
      </c>
    </row>
    <row r="8" spans="1:17" ht="30" customHeight="1" x14ac:dyDescent="0.25">
      <c r="A8" s="45" t="s">
        <v>23</v>
      </c>
      <c r="B8" s="29">
        <v>1377</v>
      </c>
      <c r="C8" s="29">
        <v>1827.25</v>
      </c>
      <c r="D8" s="28">
        <v>773.66300000000001</v>
      </c>
      <c r="E8" s="30">
        <v>75428</v>
      </c>
      <c r="F8" s="29">
        <v>42870</v>
      </c>
      <c r="G8" s="29">
        <v>57099</v>
      </c>
      <c r="H8" s="31">
        <v>75.08</v>
      </c>
      <c r="I8" s="32">
        <v>0</v>
      </c>
      <c r="J8" s="33">
        <v>0</v>
      </c>
      <c r="K8" s="31">
        <v>0</v>
      </c>
      <c r="L8" s="32">
        <v>3858.3174600000002</v>
      </c>
      <c r="M8" s="33">
        <v>0</v>
      </c>
      <c r="N8" s="33">
        <v>0</v>
      </c>
      <c r="O8" s="31">
        <v>3858.3174600000002</v>
      </c>
      <c r="P8" s="33">
        <v>5138.5391099999997</v>
      </c>
      <c r="Q8" s="31">
        <v>75.09</v>
      </c>
    </row>
    <row r="9" spans="1:17" ht="23.1" customHeight="1" x14ac:dyDescent="0.25">
      <c r="A9" s="43" t="s">
        <v>39</v>
      </c>
      <c r="B9" s="64">
        <v>1303</v>
      </c>
      <c r="C9" s="64">
        <v>1736</v>
      </c>
      <c r="D9" s="53">
        <v>734.29899999999998</v>
      </c>
      <c r="E9" s="75">
        <v>62766</v>
      </c>
      <c r="F9" s="64">
        <v>37063.690999999999</v>
      </c>
      <c r="G9" s="64">
        <v>53085.728000000003</v>
      </c>
      <c r="H9" s="84">
        <v>69.819999999999993</v>
      </c>
      <c r="I9" s="93">
        <v>0</v>
      </c>
      <c r="J9" s="102">
        <v>0</v>
      </c>
      <c r="K9" s="84">
        <v>0</v>
      </c>
      <c r="L9" s="93">
        <v>3335.7321900000002</v>
      </c>
      <c r="M9" s="102">
        <v>0</v>
      </c>
      <c r="N9" s="102">
        <v>0</v>
      </c>
      <c r="O9" s="84">
        <v>3335.7321900000002</v>
      </c>
      <c r="P9" s="102">
        <v>4777.7155199999997</v>
      </c>
      <c r="Q9" s="84">
        <v>69.819999999999993</v>
      </c>
    </row>
    <row r="10" spans="1:17" ht="23.1" customHeight="1" x14ac:dyDescent="0.25">
      <c r="A10" s="45" t="s">
        <v>24</v>
      </c>
      <c r="B10" s="29">
        <v>1305</v>
      </c>
      <c r="C10" s="29">
        <v>1732.55</v>
      </c>
      <c r="D10" s="28">
        <v>743.30499999999995</v>
      </c>
      <c r="E10" s="30">
        <v>63745</v>
      </c>
      <c r="F10" s="29">
        <v>37312.741999999998</v>
      </c>
      <c r="G10" s="29">
        <v>53400.5</v>
      </c>
      <c r="H10" s="31">
        <v>69.87</v>
      </c>
      <c r="I10" s="32">
        <v>0</v>
      </c>
      <c r="J10" s="33">
        <v>0</v>
      </c>
      <c r="K10" s="31">
        <v>0</v>
      </c>
      <c r="L10" s="32">
        <v>3358.1460000000002</v>
      </c>
      <c r="M10" s="33">
        <v>0</v>
      </c>
      <c r="N10" s="33">
        <v>0</v>
      </c>
      <c r="O10" s="31">
        <v>3358.1460000000002</v>
      </c>
      <c r="P10" s="33">
        <v>4806.0450000000001</v>
      </c>
      <c r="Q10" s="31">
        <v>69.87</v>
      </c>
    </row>
    <row r="11" spans="1:17" ht="23.1" customHeight="1" x14ac:dyDescent="0.25">
      <c r="A11" s="43" t="s">
        <v>25</v>
      </c>
      <c r="B11" s="64">
        <v>1248</v>
      </c>
      <c r="C11" s="64">
        <v>1601</v>
      </c>
      <c r="D11" s="53">
        <v>675.99099999999999</v>
      </c>
      <c r="E11" s="75">
        <v>62011</v>
      </c>
      <c r="F11" s="64">
        <v>34944</v>
      </c>
      <c r="G11" s="64">
        <v>48230</v>
      </c>
      <c r="H11" s="84">
        <v>72.45</v>
      </c>
      <c r="I11" s="93">
        <v>0</v>
      </c>
      <c r="J11" s="102">
        <v>0</v>
      </c>
      <c r="K11" s="84">
        <v>0</v>
      </c>
      <c r="L11" s="93">
        <v>3145.0012200000001</v>
      </c>
      <c r="M11" s="102">
        <v>0</v>
      </c>
      <c r="N11" s="102">
        <v>0</v>
      </c>
      <c r="O11" s="84">
        <v>3145.0012200000001</v>
      </c>
      <c r="P11" s="102">
        <v>4340.6629199999998</v>
      </c>
      <c r="Q11" s="84">
        <v>72.45</v>
      </c>
    </row>
    <row r="12" spans="1:17" ht="23.1" customHeight="1" x14ac:dyDescent="0.25">
      <c r="A12" s="45" t="s">
        <v>26</v>
      </c>
      <c r="B12" s="29">
        <v>1380</v>
      </c>
      <c r="C12" s="29">
        <v>1738.3333333333301</v>
      </c>
      <c r="D12" s="28">
        <v>737.29200000000003</v>
      </c>
      <c r="E12" s="30">
        <v>64920</v>
      </c>
      <c r="F12" s="29">
        <v>36439.408000000003</v>
      </c>
      <c r="G12" s="29">
        <v>55855.536</v>
      </c>
      <c r="H12" s="31">
        <v>65.239999999999995</v>
      </c>
      <c r="I12" s="32">
        <v>0</v>
      </c>
      <c r="J12" s="33">
        <v>0</v>
      </c>
      <c r="K12" s="31">
        <v>0</v>
      </c>
      <c r="L12" s="32">
        <v>3279.5467199999998</v>
      </c>
      <c r="M12" s="33">
        <v>0</v>
      </c>
      <c r="N12" s="33">
        <v>0</v>
      </c>
      <c r="O12" s="31">
        <v>3279.5467199999998</v>
      </c>
      <c r="P12" s="33">
        <v>5026.9982399999999</v>
      </c>
      <c r="Q12" s="31">
        <v>65.239999999999995</v>
      </c>
    </row>
    <row r="13" spans="1:17" ht="23.1" customHeight="1" x14ac:dyDescent="0.25">
      <c r="A13" s="43" t="s">
        <v>27</v>
      </c>
      <c r="B13" s="64">
        <v>1414</v>
      </c>
      <c r="C13" s="64">
        <v>1825.6666666666699</v>
      </c>
      <c r="D13" s="53">
        <v>784.07799999999997</v>
      </c>
      <c r="E13" s="75">
        <v>76855</v>
      </c>
      <c r="F13" s="64">
        <v>45384.747000000003</v>
      </c>
      <c r="G13" s="64">
        <v>60934.608</v>
      </c>
      <c r="H13" s="84">
        <v>74.48</v>
      </c>
      <c r="I13" s="93">
        <v>0</v>
      </c>
      <c r="J13" s="102">
        <v>0</v>
      </c>
      <c r="K13" s="84">
        <v>0</v>
      </c>
      <c r="L13" s="93">
        <v>4084.6272300000001</v>
      </c>
      <c r="M13" s="102">
        <v>0</v>
      </c>
      <c r="N13" s="102">
        <v>0</v>
      </c>
      <c r="O13" s="84">
        <v>4084.6272300000001</v>
      </c>
      <c r="P13" s="102">
        <v>5484.1147199999996</v>
      </c>
      <c r="Q13" s="84">
        <v>74.48</v>
      </c>
    </row>
    <row r="14" spans="1:17" ht="23.1" customHeight="1" x14ac:dyDescent="0.25">
      <c r="A14" s="45" t="s">
        <v>28</v>
      </c>
      <c r="B14" s="29">
        <v>1658</v>
      </c>
      <c r="C14" s="29">
        <v>2109.0833333333298</v>
      </c>
      <c r="D14" s="28">
        <v>886.88</v>
      </c>
      <c r="E14" s="30">
        <v>85896</v>
      </c>
      <c r="F14" s="29">
        <v>50264.271999999997</v>
      </c>
      <c r="G14" s="29">
        <v>68982.464000000007</v>
      </c>
      <c r="H14" s="31">
        <v>72.87</v>
      </c>
      <c r="I14" s="32">
        <v>0</v>
      </c>
      <c r="J14" s="33">
        <v>0</v>
      </c>
      <c r="K14" s="31">
        <v>0</v>
      </c>
      <c r="L14" s="32">
        <v>4523.7844800000003</v>
      </c>
      <c r="M14" s="33">
        <v>0</v>
      </c>
      <c r="N14" s="33">
        <v>0</v>
      </c>
      <c r="O14" s="31">
        <v>4523.7844800000003</v>
      </c>
      <c r="P14" s="33">
        <v>6208.4217600000002</v>
      </c>
      <c r="Q14" s="31">
        <v>72.87</v>
      </c>
    </row>
    <row r="15" spans="1:17" ht="23.1" customHeight="1" x14ac:dyDescent="0.25">
      <c r="A15" s="121" t="s">
        <v>29</v>
      </c>
      <c r="B15" s="2">
        <v>1698</v>
      </c>
      <c r="C15" s="2">
        <v>2121.25</v>
      </c>
      <c r="D15" s="13">
        <v>905</v>
      </c>
      <c r="E15" s="24">
        <v>103743</v>
      </c>
      <c r="F15" s="2">
        <v>59525</v>
      </c>
      <c r="G15" s="2">
        <v>74494</v>
      </c>
      <c r="H15" s="35">
        <v>79.91</v>
      </c>
      <c r="I15" s="44">
        <v>0</v>
      </c>
      <c r="J15" s="49">
        <v>0</v>
      </c>
      <c r="K15" s="35">
        <v>0</v>
      </c>
      <c r="L15" s="49">
        <v>5365</v>
      </c>
      <c r="M15" s="49">
        <v>0</v>
      </c>
      <c r="N15" s="49">
        <v>0</v>
      </c>
      <c r="O15" s="35">
        <v>5365</v>
      </c>
      <c r="P15" s="102">
        <v>6705</v>
      </c>
      <c r="Q15" s="84">
        <v>80.010000000000005</v>
      </c>
    </row>
    <row r="16" spans="1:17" ht="23.1" customHeight="1" x14ac:dyDescent="0.25">
      <c r="A16" s="34" t="s">
        <v>30</v>
      </c>
      <c r="B16" s="36">
        <f t="shared" ref="B16:G16" si="0">IFERROR(SUM(B4:B15),"")</f>
        <v>15955</v>
      </c>
      <c r="C16" s="36">
        <f t="shared" si="0"/>
        <v>21040.96666666666</v>
      </c>
      <c r="D16" s="36">
        <f t="shared" si="0"/>
        <v>8869.2270000000026</v>
      </c>
      <c r="E16" s="36">
        <f t="shared" si="0"/>
        <v>840572</v>
      </c>
      <c r="F16" s="36">
        <f t="shared" si="0"/>
        <v>487554.36499999999</v>
      </c>
      <c r="G16" s="36">
        <f t="shared" si="0"/>
        <v>654206.90399999998</v>
      </c>
      <c r="H16" s="37">
        <f>IFERROR(F16/G16*100,"")</f>
        <v>74.526019523633764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43991.476819999996</v>
      </c>
      <c r="M16" s="37">
        <f t="shared" si="1"/>
        <v>0</v>
      </c>
      <c r="N16" s="37">
        <f t="shared" si="1"/>
        <v>0</v>
      </c>
      <c r="O16" s="37">
        <f t="shared" si="1"/>
        <v>43991.476819999996</v>
      </c>
      <c r="P16" s="38">
        <f t="shared" si="1"/>
        <v>58879.823389999998</v>
      </c>
      <c r="Q16" s="38">
        <f>IFERROR(O16/P16*100,"")</f>
        <v>74.714009464015135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2026-02-18T11:39:31Z</dcterms:modified>
</cp:coreProperties>
</file>