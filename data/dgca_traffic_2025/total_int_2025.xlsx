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December 2025 Monthly Data to be uploaded\Excel December 2025\"/>
    </mc:Choice>
  </mc:AlternateContent>
  <bookViews>
    <workbookView xWindow="0" yWindow="0" windowWidth="24000" windowHeight="943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Monthly_Template!$C$133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Monthly_Template!#REF!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35" i="2" l="1"/>
  <c r="N35" i="2"/>
  <c r="M35" i="2"/>
  <c r="L35" i="2"/>
  <c r="O35" i="2" s="1"/>
  <c r="Q35" i="2" s="1"/>
  <c r="J35" i="2"/>
  <c r="I35" i="2"/>
  <c r="K35" i="2" s="1"/>
  <c r="G35" i="2"/>
  <c r="F35" i="2"/>
  <c r="H35" i="2" s="1"/>
  <c r="E35" i="2"/>
  <c r="D35" i="2"/>
  <c r="C35" i="2"/>
  <c r="B35" i="2"/>
  <c r="P16" i="2"/>
  <c r="N16" i="2"/>
  <c r="O16" i="2" s="1"/>
  <c r="Q16" i="2" s="1"/>
  <c r="M16" i="2"/>
  <c r="L16" i="2"/>
  <c r="J16" i="2"/>
  <c r="I16" i="2"/>
  <c r="K16" i="2" s="1"/>
  <c r="G16" i="2"/>
  <c r="F16" i="2"/>
  <c r="H16" i="2" s="1"/>
  <c r="E16" i="2"/>
  <c r="D16" i="2"/>
  <c r="C16" i="2"/>
  <c r="B16" i="2"/>
</calcChain>
</file>

<file path=xl/sharedStrings.xml><?xml version="1.0" encoding="utf-8"?>
<sst xmlns="http://schemas.openxmlformats.org/spreadsheetml/2006/main" count="79" uniqueCount="41">
  <si>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</si>
  <si>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</si>
  <si>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</si>
  <si>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</si>
  <si>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</si>
  <si>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</si>
  <si>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</si>
  <si>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</si>
  <si>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</si>
  <si>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</si>
  <si>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</si>
  <si>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</si>
  <si>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</si>
  <si>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</si>
  <si>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</si>
  <si>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</si>
  <si>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</si>
  <si>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</si>
  <si>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</si>
  <si>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</si>
  <si>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</si>
  <si>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</si>
  <si>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</si>
  <si>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</si>
  <si>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</si>
  <si>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</si>
  <si>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</si>
  <si>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</si>
  <si>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</si>
  <si>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</si>
  <si>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</si>
  <si>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</si>
  <si>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</si>
  <si>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</si>
  <si>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</si>
  <si>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</si>
  <si>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>SOURCE:-ICAO ATR FORM A FURNISHED BY SCHEDULED OPERTORS</t>
  </si>
  <si>
    <t>Monthly Traffic And Operating Statistics of Indian Carriers (Provisional)
 ( Scheduled International  Services)</t>
  </si>
  <si>
    <t>Monthly Traffic And Operating Statistics of Indian Carriers (Provisional)
 (Non- Scheduled International Services)</t>
  </si>
  <si>
    <t/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</si>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</sst>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#,##0.000"/>
  </numFmts>
  <fonts count="8" x14ac:knownFonts="1">
    <font>
      <sz val="11"/>
      <color theme="1"/>
      <name val="Calibri"/>
      <family val="2"/>
      <charset val="1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3" fontId="2" fillId="5" borderId="7" xfId="0" applyNumberFormat="1" applyFont="1" applyFill="1" applyBorder="1" applyAlignment="1">
      <alignment horizontal="center" vertical="center" wrapText="1"/>
    </xf>
    <xf numFmtId="3" fontId="2" fillId="5" borderId="8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2" fillId="5" borderId="7" xfId="0" applyNumberFormat="1" applyFont="1" applyFill="1" applyBorder="1" applyAlignment="1">
      <alignment horizontal="center" vertical="center" wrapText="1"/>
    </xf>
    <xf numFmtId="164" fontId="2" fillId="5" borderId="9" xfId="0" applyNumberFormat="1" applyFont="1" applyFill="1" applyBorder="1" applyAlignment="1">
      <alignment horizontal="center" vertical="center" wrapText="1"/>
    </xf>
    <xf numFmtId="3" fontId="4" fillId="6" borderId="10" xfId="0" applyNumberFormat="1" applyFont="1" applyFill="1" applyBorder="1" applyAlignment="1">
      <alignment horizontal="center" vertical="center" wrapText="1"/>
    </xf>
    <xf numFmtId="164" fontId="4" fillId="6" borderId="11" xfId="0" applyNumberFormat="1" applyFont="1" applyFill="1" applyBorder="1" applyAlignment="1">
      <alignment horizontal="center" vertical="center" wrapText="1"/>
    </xf>
    <xf numFmtId="164" fontId="4" fillId="6" borderId="10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textRotation="90" wrapText="1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2" borderId="9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textRotation="90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center" vertical="center" wrapText="1"/>
    </xf>
    <xf numFmtId="164" fontId="4" fillId="4" borderId="6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4" fillId="7" borderId="13" xfId="0" applyNumberFormat="1" applyFont="1" applyFill="1" applyBorder="1" applyAlignment="1">
      <alignment horizontal="center" vertical="center" wrapText="1"/>
    </xf>
    <xf numFmtId="164" fontId="4" fillId="7" borderId="13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166" fontId="2" fillId="5" borderId="0" xfId="0" applyNumberFormat="1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textRotation="90" wrapText="1"/>
    </xf>
    <xf numFmtId="0" fontId="5" fillId="7" borderId="13" xfId="0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49" fontId="3" fillId="3" borderId="14" xfId="0" applyNumberFormat="1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164" fontId="7" fillId="3" borderId="15" xfId="0" applyNumberFormat="1" applyFont="1" applyFill="1" applyBorder="1" applyAlignment="1">
      <alignment horizontal="center" vertical="center" wrapText="1"/>
    </xf>
    <xf numFmtId="164" fontId="3" fillId="3" borderId="15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textRotation="90" wrapText="1"/>
    </xf>
    <xf numFmtId="0" fontId="5" fillId="6" borderId="13" xfId="0" applyFont="1" applyFill="1" applyBorder="1" applyAlignment="1">
      <alignment horizontal="center" vertical="center" textRotation="90" wrapText="1"/>
    </xf>
    <xf numFmtId="49" fontId="3" fillId="4" borderId="14" xfId="0" applyNumberFormat="1" applyFont="1" applyFill="1" applyBorder="1" applyAlignment="1">
      <alignment horizontal="center" vertical="center" wrapText="1"/>
    </xf>
    <xf numFmtId="49" fontId="3" fillId="4" borderId="15" xfId="0" applyNumberFormat="1" applyFont="1" applyFill="1" applyBorder="1" applyAlignment="1">
      <alignment horizontal="center" vertical="center" wrapText="1"/>
    </xf>
    <xf numFmtId="3" fontId="6" fillId="4" borderId="15" xfId="0" applyNumberFormat="1" applyFont="1" applyFill="1" applyBorder="1" applyAlignment="1">
      <alignment horizontal="center" vertical="center" wrapText="1"/>
    </xf>
    <xf numFmtId="3" fontId="3" fillId="4" borderId="15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textRotation="90" wrapText="1"/>
    </xf>
    <xf numFmtId="0" fontId="5" fillId="7" borderId="1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ti\Desktop\Nitin%20DGCA\Form%20A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55"/>
  <sheetViews>
    <sheetView showGridLines="0" tabSelected="1" view="pageBreakPreview" zoomScale="115" zoomScaleNormal="85" zoomScaleSheetLayoutView="115" workbookViewId="0">
      <selection activeCell="N16" sqref="N16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3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3.42578125" customWidth="1"/>
    <col min="14" max="14" width="9.140625" customWidth="1"/>
    <col min="15" max="15" width="12.85546875" customWidth="1"/>
    <col min="16" max="16" width="14.85546875" customWidth="1"/>
    <col min="17" max="17" width="6.7109375" customWidth="1"/>
  </cols>
  <sheetData>
    <row r="1" spans="1:17" ht="46.5" customHeight="1" x14ac:dyDescent="0.25">
      <c r="A1" s="72" t="s">
        <v>40</v>
      </c>
      <c r="B1" s="73"/>
      <c r="C1" s="74" t="s">
        <v>37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5"/>
      <c r="P1" s="75"/>
      <c r="Q1" s="76"/>
    </row>
    <row r="2" spans="1:17" ht="33" customHeight="1" x14ac:dyDescent="0.25">
      <c r="A2" s="77" t="s">
        <v>0</v>
      </c>
      <c r="B2" s="79" t="s">
        <v>1</v>
      </c>
      <c r="C2" s="80"/>
      <c r="D2" s="81"/>
      <c r="E2" s="82" t="s">
        <v>2</v>
      </c>
      <c r="F2" s="82" t="s">
        <v>3</v>
      </c>
      <c r="G2" s="82" t="s">
        <v>4</v>
      </c>
      <c r="H2" s="82" t="s">
        <v>5</v>
      </c>
      <c r="I2" s="79" t="s">
        <v>6</v>
      </c>
      <c r="J2" s="80"/>
      <c r="K2" s="81"/>
      <c r="L2" s="79" t="s">
        <v>7</v>
      </c>
      <c r="M2" s="80"/>
      <c r="N2" s="80"/>
      <c r="O2" s="81"/>
      <c r="P2" s="82" t="s">
        <v>8</v>
      </c>
      <c r="Q2" s="82" t="s">
        <v>9</v>
      </c>
    </row>
    <row r="3" spans="1:17" ht="155.25" customHeight="1" x14ac:dyDescent="0.25">
      <c r="A3" s="78"/>
      <c r="B3" s="34" t="s">
        <v>10</v>
      </c>
      <c r="C3" s="34" t="s">
        <v>11</v>
      </c>
      <c r="D3" s="34" t="s">
        <v>12</v>
      </c>
      <c r="E3" s="83"/>
      <c r="F3" s="83"/>
      <c r="G3" s="83"/>
      <c r="H3" s="83"/>
      <c r="I3" s="34" t="s">
        <v>13</v>
      </c>
      <c r="J3" s="34" t="s">
        <v>14</v>
      </c>
      <c r="K3" s="34" t="s">
        <v>15</v>
      </c>
      <c r="L3" s="61" t="s">
        <v>16</v>
      </c>
      <c r="M3" s="61" t="s">
        <v>17</v>
      </c>
      <c r="N3" s="61" t="s">
        <v>18</v>
      </c>
      <c r="O3" s="61" t="s">
        <v>19</v>
      </c>
      <c r="P3" s="83"/>
      <c r="Q3" s="83"/>
    </row>
    <row r="4" spans="1:17" ht="23.1" customHeight="1" x14ac:dyDescent="0.25">
      <c r="A4" s="14" t="s">
        <v>20</v>
      </c>
      <c r="B4" s="63">
        <v>18574</v>
      </c>
      <c r="C4" s="64">
        <v>83308.558666666606</v>
      </c>
      <c r="D4" s="65">
        <v>60272.042113710799</v>
      </c>
      <c r="E4" s="63">
        <v>3192757</v>
      </c>
      <c r="F4" s="64">
        <v>11563224.256955501</v>
      </c>
      <c r="G4" s="64">
        <v>13369895.9394791</v>
      </c>
      <c r="H4" s="2">
        <v>86.49</v>
      </c>
      <c r="I4" s="5">
        <v>25281.490604005401</v>
      </c>
      <c r="J4" s="5">
        <v>218.89442124360099</v>
      </c>
      <c r="K4" s="5">
        <v>25500.385025249001</v>
      </c>
      <c r="L4" s="6">
        <v>1119589.8064375699</v>
      </c>
      <c r="M4" s="5">
        <v>111169.273268091</v>
      </c>
      <c r="N4" s="5">
        <v>1605.7293330608099</v>
      </c>
      <c r="O4" s="7">
        <v>1232364.8090387301</v>
      </c>
      <c r="P4" s="6">
        <v>1467755.9872242201</v>
      </c>
      <c r="Q4" s="7">
        <v>83.96</v>
      </c>
    </row>
    <row r="5" spans="1:17" ht="23.1" customHeight="1" x14ac:dyDescent="0.25">
      <c r="A5" s="9" t="s">
        <v>21</v>
      </c>
      <c r="B5" s="9">
        <v>16668</v>
      </c>
      <c r="C5" s="8">
        <v>75985.468999999997</v>
      </c>
      <c r="D5" s="10">
        <v>54623.096938114402</v>
      </c>
      <c r="E5" s="9">
        <v>2862912</v>
      </c>
      <c r="F5" s="8">
        <v>10490677.4191311</v>
      </c>
      <c r="G5" s="8">
        <v>12173101.844523599</v>
      </c>
      <c r="H5" s="11">
        <v>86.18</v>
      </c>
      <c r="I5" s="12">
        <v>24160.985659999998</v>
      </c>
      <c r="J5" s="12">
        <v>167.254353178543</v>
      </c>
      <c r="K5" s="12">
        <v>24328.2400131785</v>
      </c>
      <c r="L5" s="13">
        <v>1007122.34787828</v>
      </c>
      <c r="M5" s="12">
        <v>113761.721557588</v>
      </c>
      <c r="N5" s="12">
        <v>1265.8444050000001</v>
      </c>
      <c r="O5" s="11">
        <v>1122149.9138408699</v>
      </c>
      <c r="P5" s="13">
        <v>1330965.79958229</v>
      </c>
      <c r="Q5" s="11">
        <v>84.31</v>
      </c>
    </row>
    <row r="6" spans="1:17" ht="23.1" customHeight="1" x14ac:dyDescent="0.25">
      <c r="A6" s="14" t="s">
        <v>22</v>
      </c>
      <c r="B6" s="14">
        <v>18502</v>
      </c>
      <c r="C6" s="53">
        <v>83020.123666666695</v>
      </c>
      <c r="D6" s="15">
        <v>59905.513074597999</v>
      </c>
      <c r="E6" s="14">
        <v>2907654</v>
      </c>
      <c r="F6" s="53">
        <v>10518650.3784824</v>
      </c>
      <c r="G6" s="53">
        <v>13292107.0391523</v>
      </c>
      <c r="H6" s="2">
        <v>79.13</v>
      </c>
      <c r="I6" s="16">
        <v>28251.81307</v>
      </c>
      <c r="J6" s="16">
        <v>221.30819179923299</v>
      </c>
      <c r="K6" s="16">
        <v>28473.121261799199</v>
      </c>
      <c r="L6" s="17">
        <v>999134.90032669902</v>
      </c>
      <c r="M6" s="16">
        <v>134518.89837226301</v>
      </c>
      <c r="N6" s="16">
        <v>1710.8840201195701</v>
      </c>
      <c r="O6" s="2">
        <v>1135364.68271908</v>
      </c>
      <c r="P6" s="17">
        <v>1437905.97129196</v>
      </c>
      <c r="Q6" s="2">
        <v>78.959999999999994</v>
      </c>
    </row>
    <row r="7" spans="1:17" ht="23.1" customHeight="1" x14ac:dyDescent="0.25">
      <c r="A7" s="9" t="s">
        <v>23</v>
      </c>
      <c r="B7" s="9">
        <v>18323</v>
      </c>
      <c r="C7" s="8">
        <v>82901.828999999998</v>
      </c>
      <c r="D7" s="10">
        <v>58902.313138623802</v>
      </c>
      <c r="E7" s="9">
        <v>3007716</v>
      </c>
      <c r="F7" s="8">
        <v>10696663.2877017</v>
      </c>
      <c r="G7" s="8">
        <v>13090612.1473104</v>
      </c>
      <c r="H7" s="11">
        <v>81.709999999999994</v>
      </c>
      <c r="I7" s="12">
        <v>22250.8544</v>
      </c>
      <c r="J7" s="12">
        <v>214.04127821229099</v>
      </c>
      <c r="K7" s="12">
        <v>22464.895678212299</v>
      </c>
      <c r="L7" s="13">
        <v>1015133.5913838</v>
      </c>
      <c r="M7" s="12">
        <v>115493.557523008</v>
      </c>
      <c r="N7" s="12">
        <v>1642.62325760615</v>
      </c>
      <c r="O7" s="11">
        <v>1132269.77216441</v>
      </c>
      <c r="P7" s="13">
        <v>1413854.85199248</v>
      </c>
      <c r="Q7" s="11">
        <v>80.08</v>
      </c>
    </row>
    <row r="8" spans="1:17" ht="30" customHeight="1" x14ac:dyDescent="0.25">
      <c r="A8" s="14" t="s">
        <v>24</v>
      </c>
      <c r="B8" s="14">
        <v>18418</v>
      </c>
      <c r="C8" s="53">
        <v>87515.106</v>
      </c>
      <c r="D8" s="15">
        <v>58615.021453593203</v>
      </c>
      <c r="E8" s="14">
        <v>2974203</v>
      </c>
      <c r="F8" s="53">
        <v>10406581.3346374</v>
      </c>
      <c r="G8" s="53">
        <v>13030259.510627</v>
      </c>
      <c r="H8" s="2">
        <v>79.86</v>
      </c>
      <c r="I8" s="16">
        <v>29349.324728600001</v>
      </c>
      <c r="J8" s="16">
        <v>238.54740000000001</v>
      </c>
      <c r="K8" s="16">
        <v>29587.8721286</v>
      </c>
      <c r="L8" s="17">
        <v>987227.78760628297</v>
      </c>
      <c r="M8" s="16">
        <v>130798.78936521</v>
      </c>
      <c r="N8" s="16">
        <v>1759.0036315</v>
      </c>
      <c r="O8" s="2">
        <v>1119785.58060299</v>
      </c>
      <c r="P8" s="17">
        <v>1403045.41208187</v>
      </c>
      <c r="Q8" s="2">
        <v>79.81</v>
      </c>
    </row>
    <row r="9" spans="1:17" ht="23.1" customHeight="1" x14ac:dyDescent="0.25">
      <c r="A9" s="9" t="s">
        <v>25</v>
      </c>
      <c r="B9" s="9">
        <v>17397</v>
      </c>
      <c r="C9" s="8">
        <v>78906.552666666699</v>
      </c>
      <c r="D9" s="10">
        <v>52797.0165028716</v>
      </c>
      <c r="E9" s="9">
        <v>2754143</v>
      </c>
      <c r="F9" s="8">
        <v>9141059.8368542809</v>
      </c>
      <c r="G9" s="8">
        <v>11423657.706754699</v>
      </c>
      <c r="H9" s="11">
        <v>80.02</v>
      </c>
      <c r="I9" s="12">
        <v>34657.251793000003</v>
      </c>
      <c r="J9" s="12">
        <v>165.05609999999999</v>
      </c>
      <c r="K9" s="58">
        <v>34822.307892999997</v>
      </c>
      <c r="L9" s="13">
        <v>852789.158612133</v>
      </c>
      <c r="M9" s="12">
        <v>169779.995036824</v>
      </c>
      <c r="N9" s="12">
        <v>988.05954299999701</v>
      </c>
      <c r="O9" s="11">
        <v>1023557.21319196</v>
      </c>
      <c r="P9" s="13">
        <v>1574661.7183974299</v>
      </c>
      <c r="Q9" s="11">
        <v>65</v>
      </c>
    </row>
    <row r="10" spans="1:17" ht="23.1" customHeight="1" x14ac:dyDescent="0.25">
      <c r="A10" s="14" t="s">
        <v>26</v>
      </c>
      <c r="B10" s="14">
        <v>18555</v>
      </c>
      <c r="C10" s="53">
        <v>85486.450333333298</v>
      </c>
      <c r="D10" s="15">
        <v>57678.464015310099</v>
      </c>
      <c r="E10" s="14">
        <v>2932517</v>
      </c>
      <c r="F10" s="53">
        <v>9866807.3225548491</v>
      </c>
      <c r="G10" s="53">
        <v>12525897.068178199</v>
      </c>
      <c r="H10" s="2">
        <v>78.77</v>
      </c>
      <c r="I10" s="16">
        <v>38931.600015800002</v>
      </c>
      <c r="J10" s="16">
        <v>205.5102</v>
      </c>
      <c r="K10" s="59">
        <v>39137.110215799999</v>
      </c>
      <c r="L10" s="17">
        <v>919610.94394025102</v>
      </c>
      <c r="M10" s="16">
        <v>187549.58421945199</v>
      </c>
      <c r="N10" s="16">
        <v>1453.3868778999999</v>
      </c>
      <c r="O10" s="2">
        <v>1108613.9150376001</v>
      </c>
      <c r="P10" s="17">
        <v>1308256.6338662</v>
      </c>
      <c r="Q10" s="2">
        <v>84.74</v>
      </c>
    </row>
    <row r="11" spans="1:17" ht="23.1" customHeight="1" x14ac:dyDescent="0.25">
      <c r="A11" s="9" t="s">
        <v>27</v>
      </c>
      <c r="B11" s="9">
        <v>18723</v>
      </c>
      <c r="C11" s="8">
        <v>87763.5099966665</v>
      </c>
      <c r="D11" s="10">
        <v>57968.778683516997</v>
      </c>
      <c r="E11" s="9">
        <v>2997443</v>
      </c>
      <c r="F11" s="8">
        <v>10153120.0236107</v>
      </c>
      <c r="G11" s="8">
        <v>12573336.3027626</v>
      </c>
      <c r="H11" s="12">
        <v>80.75</v>
      </c>
      <c r="I11" s="13">
        <v>32647.279120200001</v>
      </c>
      <c r="J11" s="12">
        <v>196.5333</v>
      </c>
      <c r="K11" s="58">
        <v>32843.812420200004</v>
      </c>
      <c r="L11" s="13">
        <v>948250.98959361506</v>
      </c>
      <c r="M11" s="12">
        <v>161936.73634937801</v>
      </c>
      <c r="N11" s="12">
        <v>1335.20951640001</v>
      </c>
      <c r="O11" s="12">
        <v>1111522.93545939</v>
      </c>
      <c r="P11" s="13">
        <v>1357929.73839034</v>
      </c>
      <c r="Q11" s="11">
        <v>81.849999999999994</v>
      </c>
    </row>
    <row r="12" spans="1:17" ht="23.1" customHeight="1" x14ac:dyDescent="0.25">
      <c r="A12" s="14" t="s">
        <v>28</v>
      </c>
      <c r="B12" s="14">
        <v>17930</v>
      </c>
      <c r="C12" s="53">
        <v>82621.286666666798</v>
      </c>
      <c r="D12" s="15">
        <v>55399.713322879797</v>
      </c>
      <c r="E12" s="14">
        <v>2825228</v>
      </c>
      <c r="F12" s="53">
        <v>9375650.5599539895</v>
      </c>
      <c r="G12" s="53">
        <v>12109647.049107799</v>
      </c>
      <c r="H12" s="2">
        <v>77.42</v>
      </c>
      <c r="I12" s="16">
        <v>43137.171642000001</v>
      </c>
      <c r="J12" s="16">
        <v>238.2782</v>
      </c>
      <c r="K12" s="59">
        <v>43375.449842000002</v>
      </c>
      <c r="L12" s="17">
        <v>875437.57136697497</v>
      </c>
      <c r="M12" s="16">
        <v>226628.854450844</v>
      </c>
      <c r="N12" s="16">
        <v>1550.0394434</v>
      </c>
      <c r="O12" s="2">
        <v>1103616.46526122</v>
      </c>
      <c r="P12" s="17">
        <v>1426966.5225776001</v>
      </c>
      <c r="Q12" s="2">
        <v>77.34</v>
      </c>
    </row>
    <row r="13" spans="1:17" ht="23.1" customHeight="1" x14ac:dyDescent="0.25">
      <c r="A13" s="9" t="s">
        <v>29</v>
      </c>
      <c r="B13" s="9">
        <v>18384</v>
      </c>
      <c r="C13" s="8">
        <v>86515.053300000101</v>
      </c>
      <c r="D13" s="10">
        <v>58142.266697430998</v>
      </c>
      <c r="E13" s="9">
        <v>2994203</v>
      </c>
      <c r="F13" s="8">
        <v>10104344.738283999</v>
      </c>
      <c r="G13" s="8">
        <v>12905674.0181274</v>
      </c>
      <c r="H13" s="11">
        <v>78.290000000000006</v>
      </c>
      <c r="I13" s="12">
        <v>48448.7795682</v>
      </c>
      <c r="J13" s="12">
        <v>229.55539999999999</v>
      </c>
      <c r="K13" s="12">
        <v>48678.334968199997</v>
      </c>
      <c r="L13" s="13">
        <v>939952.92711491405</v>
      </c>
      <c r="M13" s="12">
        <v>251234.59717244399</v>
      </c>
      <c r="N13" s="12">
        <v>1340.4936918999799</v>
      </c>
      <c r="O13" s="11">
        <v>1192528.0179792601</v>
      </c>
      <c r="P13" s="13">
        <v>1507985.8503686199</v>
      </c>
      <c r="Q13" s="11">
        <v>79.08</v>
      </c>
    </row>
    <row r="14" spans="1:17" ht="23.1" customHeight="1" x14ac:dyDescent="0.25">
      <c r="A14" s="14" t="s">
        <v>30</v>
      </c>
      <c r="B14" s="14">
        <v>18160</v>
      </c>
      <c r="C14" s="53">
        <v>87008.180000000095</v>
      </c>
      <c r="D14" s="15">
        <v>58239.725074421898</v>
      </c>
      <c r="E14" s="14">
        <v>3075921</v>
      </c>
      <c r="F14" s="53">
        <v>10641065.5222668</v>
      </c>
      <c r="G14" s="53">
        <v>13002491.0165495</v>
      </c>
      <c r="H14" s="2">
        <v>81.84</v>
      </c>
      <c r="I14" s="16">
        <v>52581.186492300003</v>
      </c>
      <c r="J14" s="16">
        <v>282.37611299999998</v>
      </c>
      <c r="K14" s="16">
        <v>52863.562605300001</v>
      </c>
      <c r="L14" s="17">
        <v>995387.82140981196</v>
      </c>
      <c r="M14" s="16">
        <v>293411.33501488098</v>
      </c>
      <c r="N14" s="16">
        <v>1835.316148955</v>
      </c>
      <c r="O14" s="2">
        <v>1290634.4725736501</v>
      </c>
      <c r="P14" s="17">
        <v>1545840.1134584399</v>
      </c>
      <c r="Q14" s="2">
        <v>83.49</v>
      </c>
    </row>
    <row r="15" spans="1:17" ht="23.1" customHeight="1" x14ac:dyDescent="0.25">
      <c r="A15" s="9" t="s">
        <v>31</v>
      </c>
      <c r="B15" s="18">
        <v>19257</v>
      </c>
      <c r="C15" s="19">
        <v>93042.313333333295</v>
      </c>
      <c r="D15" s="20">
        <v>62084.854565512302</v>
      </c>
      <c r="E15" s="18">
        <v>3271764</v>
      </c>
      <c r="F15" s="19">
        <v>11392153.9073196</v>
      </c>
      <c r="G15" s="19">
        <v>13847751.6042923</v>
      </c>
      <c r="H15" s="11">
        <v>82.27</v>
      </c>
      <c r="I15" s="21">
        <v>55212.974219199998</v>
      </c>
      <c r="J15" s="21">
        <v>314.96359999999999</v>
      </c>
      <c r="K15" s="21">
        <v>55527.9378192</v>
      </c>
      <c r="L15" s="22">
        <v>1061685.5361476501</v>
      </c>
      <c r="M15" s="21">
        <v>316062.742908852</v>
      </c>
      <c r="N15" s="21">
        <v>2304.8434158</v>
      </c>
      <c r="O15" s="23">
        <v>1380053.1224723</v>
      </c>
      <c r="P15" s="22">
        <v>1644338.8687002501</v>
      </c>
      <c r="Q15" s="23">
        <v>83.93</v>
      </c>
    </row>
    <row r="16" spans="1:17" ht="23.1" customHeight="1" x14ac:dyDescent="0.25">
      <c r="A16" s="60" t="s">
        <v>32</v>
      </c>
      <c r="B16" s="24">
        <f t="shared" ref="B16:G16" si="0">SUM(B4:B15)</f>
        <v>218891</v>
      </c>
      <c r="C16" s="24">
        <f t="shared" si="0"/>
        <v>1014074.4326299999</v>
      </c>
      <c r="D16" s="24">
        <f t="shared" si="0"/>
        <v>694628.80558058387</v>
      </c>
      <c r="E16" s="24">
        <f t="shared" si="0"/>
        <v>35796461</v>
      </c>
      <c r="F16" s="24">
        <f t="shared" si="0"/>
        <v>124349998.58775234</v>
      </c>
      <c r="G16" s="24">
        <f t="shared" si="0"/>
        <v>153344431.24686491</v>
      </c>
      <c r="H16" s="25">
        <f t="shared" ref="H16" si="1">IFERROR(F16/G16*100," ")</f>
        <v>81.09195591691541</v>
      </c>
      <c r="I16" s="26">
        <f>SUM(I4:I15)</f>
        <v>434910.71131330542</v>
      </c>
      <c r="J16" s="26">
        <f>SUM(J4:J15)</f>
        <v>2692.318557433668</v>
      </c>
      <c r="K16" s="26">
        <f t="shared" ref="K16" si="2">IF(AND(ISBLANK(I16),ISBLANK(J16))=TRUE,"",I16+J16)</f>
        <v>437603.02987073909</v>
      </c>
      <c r="L16" s="24">
        <f>SUM(L4:L15)</f>
        <v>11721323.381817982</v>
      </c>
      <c r="M16" s="24">
        <f>SUM(M4:M15)</f>
        <v>2212346.0852388353</v>
      </c>
      <c r="N16" s="26">
        <f>SUM(N4:N15)</f>
        <v>18791.433284641513</v>
      </c>
      <c r="O16" s="26">
        <f t="shared" ref="O16" si="3">IF(AND(ISBLANK(L16),ISBLANK(M16),ISBLANK(N16))=TRUE,"",L16+M16+N16)</f>
        <v>13952460.900341459</v>
      </c>
      <c r="P16" s="26">
        <f>SUM(P4:P15)</f>
        <v>17419507.467931703</v>
      </c>
      <c r="Q16" s="26">
        <f t="shared" ref="Q16" si="4">IFERROR(O16/P16*100," ")</f>
        <v>80.096758912541731</v>
      </c>
    </row>
    <row r="17" spans="1:17" ht="20.100000000000001" customHeight="1" x14ac:dyDescent="0.25">
      <c r="A17" s="69" t="s">
        <v>36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1"/>
    </row>
    <row r="18" spans="1:17" ht="15.75" x14ac:dyDescent="0.25">
      <c r="A18" s="66" t="s">
        <v>33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8"/>
    </row>
    <row r="19" spans="1:17" ht="15.75" x14ac:dyDescent="0.25">
      <c r="A19" s="66" t="s">
        <v>34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8"/>
    </row>
    <row r="20" spans="1:17" ht="51.75" customHeight="1" x14ac:dyDescent="0.25">
      <c r="A20" s="84">
        <v>2025</v>
      </c>
      <c r="B20" s="85"/>
      <c r="C20" s="86" t="s">
        <v>38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87"/>
      <c r="Q20" s="88"/>
    </row>
    <row r="21" spans="1:17" ht="33" customHeight="1" x14ac:dyDescent="0.25">
      <c r="A21" s="89" t="s">
        <v>40</v>
      </c>
      <c r="B21" s="91" t="s">
        <v>1</v>
      </c>
      <c r="C21" s="92"/>
      <c r="D21" s="93"/>
      <c r="E21" s="94" t="s">
        <v>2</v>
      </c>
      <c r="F21" s="94" t="s">
        <v>3</v>
      </c>
      <c r="G21" s="94" t="s">
        <v>4</v>
      </c>
      <c r="H21" s="94" t="s">
        <v>5</v>
      </c>
      <c r="I21" s="91" t="s">
        <v>6</v>
      </c>
      <c r="J21" s="92"/>
      <c r="K21" s="93"/>
      <c r="L21" s="91" t="s">
        <v>7</v>
      </c>
      <c r="M21" s="92"/>
      <c r="N21" s="92"/>
      <c r="O21" s="93"/>
      <c r="P21" s="94" t="s">
        <v>8</v>
      </c>
      <c r="Q21" s="94" t="s">
        <v>9</v>
      </c>
    </row>
    <row r="22" spans="1:17" ht="150.75" customHeight="1" x14ac:dyDescent="0.25">
      <c r="A22" s="90"/>
      <c r="B22" s="40" t="s">
        <v>10</v>
      </c>
      <c r="C22" s="40" t="s">
        <v>11</v>
      </c>
      <c r="D22" s="40" t="s">
        <v>12</v>
      </c>
      <c r="E22" s="95"/>
      <c r="F22" s="95"/>
      <c r="G22" s="95"/>
      <c r="H22" s="95"/>
      <c r="I22" s="40" t="s">
        <v>13</v>
      </c>
      <c r="J22" s="40" t="s">
        <v>14</v>
      </c>
      <c r="K22" s="40" t="s">
        <v>15</v>
      </c>
      <c r="L22" s="40" t="s">
        <v>16</v>
      </c>
      <c r="M22" s="40" t="s">
        <v>17</v>
      </c>
      <c r="N22" s="40" t="s">
        <v>18</v>
      </c>
      <c r="O22" s="40" t="s">
        <v>19</v>
      </c>
      <c r="P22" s="95"/>
      <c r="Q22" s="95"/>
    </row>
    <row r="23" spans="1:17" ht="23.1" customHeight="1" x14ac:dyDescent="0.25">
      <c r="A23" s="3" t="s">
        <v>20</v>
      </c>
      <c r="B23" s="41">
        <v>120</v>
      </c>
      <c r="C23" s="42">
        <v>443.76666666666699</v>
      </c>
      <c r="D23" s="43">
        <v>296.12320886124297</v>
      </c>
      <c r="E23" s="41">
        <v>0</v>
      </c>
      <c r="F23" s="42">
        <v>0</v>
      </c>
      <c r="G23" s="42">
        <v>0</v>
      </c>
      <c r="H23" s="42" t="s">
        <v>39</v>
      </c>
      <c r="I23" s="45">
        <v>1836.48299</v>
      </c>
      <c r="J23" s="46">
        <v>0</v>
      </c>
      <c r="K23" s="46">
        <v>1836.48299</v>
      </c>
      <c r="L23" s="41">
        <v>0</v>
      </c>
      <c r="M23" s="42">
        <v>4342.0195028081298</v>
      </c>
      <c r="N23" s="46">
        <v>0</v>
      </c>
      <c r="O23" s="43">
        <v>4342.0195028081298</v>
      </c>
      <c r="P23" s="42">
        <v>6603.07605915367</v>
      </c>
      <c r="Q23" s="44">
        <v>65.760000000000005</v>
      </c>
    </row>
    <row r="24" spans="1:17" ht="23.1" customHeight="1" x14ac:dyDescent="0.25">
      <c r="A24" s="4" t="s">
        <v>21</v>
      </c>
      <c r="B24" s="28">
        <v>113</v>
      </c>
      <c r="C24" s="29">
        <v>424.21666666666698</v>
      </c>
      <c r="D24" s="32">
        <v>268.41669999999999</v>
      </c>
      <c r="E24" s="28">
        <v>888</v>
      </c>
      <c r="F24" s="29">
        <v>2137.12</v>
      </c>
      <c r="G24" s="29">
        <v>2707.2959999999998</v>
      </c>
      <c r="H24" s="32">
        <v>78.94</v>
      </c>
      <c r="I24" s="30">
        <v>1541.0004200000001</v>
      </c>
      <c r="J24" s="31">
        <v>0</v>
      </c>
      <c r="K24" s="31">
        <v>1541.0004200000001</v>
      </c>
      <c r="L24" s="28">
        <v>188.16018</v>
      </c>
      <c r="M24" s="29">
        <v>3690.7907500000001</v>
      </c>
      <c r="N24" s="31">
        <v>0</v>
      </c>
      <c r="O24" s="32">
        <v>3878.95093</v>
      </c>
      <c r="P24" s="29">
        <v>5956.7015000000001</v>
      </c>
      <c r="Q24" s="27">
        <v>65.12</v>
      </c>
    </row>
    <row r="25" spans="1:17" ht="23.1" customHeight="1" x14ac:dyDescent="0.25">
      <c r="A25" s="3" t="s">
        <v>22</v>
      </c>
      <c r="B25" s="47">
        <v>141</v>
      </c>
      <c r="C25" s="48">
        <v>509.316666666667</v>
      </c>
      <c r="D25" s="49">
        <v>337.06689999999998</v>
      </c>
      <c r="E25" s="47">
        <v>155</v>
      </c>
      <c r="F25" s="48">
        <v>253.58</v>
      </c>
      <c r="G25" s="48">
        <v>309.20400000000001</v>
      </c>
      <c r="H25" s="49">
        <v>82.01</v>
      </c>
      <c r="I25" s="51">
        <v>1989.9199000000001</v>
      </c>
      <c r="J25" s="52">
        <v>0</v>
      </c>
      <c r="K25" s="52">
        <v>1989.9199000000001</v>
      </c>
      <c r="L25" s="47">
        <v>19.0185</v>
      </c>
      <c r="M25" s="48">
        <v>4859.82886648564</v>
      </c>
      <c r="N25" s="52">
        <v>0</v>
      </c>
      <c r="O25" s="49">
        <v>4878.8473664856401</v>
      </c>
      <c r="P25" s="48">
        <v>7402.0388468565998</v>
      </c>
      <c r="Q25" s="50">
        <v>65.91</v>
      </c>
    </row>
    <row r="26" spans="1:17" ht="23.1" customHeight="1" x14ac:dyDescent="0.25">
      <c r="A26" s="4" t="s">
        <v>23</v>
      </c>
      <c r="B26" s="28">
        <v>121</v>
      </c>
      <c r="C26" s="29">
        <v>441.33333333333297</v>
      </c>
      <c r="D26" s="32">
        <v>294.23129616419902</v>
      </c>
      <c r="E26" s="28">
        <v>1359</v>
      </c>
      <c r="F26" s="29">
        <v>3108.6260000000002</v>
      </c>
      <c r="G26" s="29">
        <v>3963.5819999999999</v>
      </c>
      <c r="H26" s="32">
        <v>78.430000000000007</v>
      </c>
      <c r="I26" s="30">
        <v>1655.06538</v>
      </c>
      <c r="J26" s="31">
        <v>0</v>
      </c>
      <c r="K26" s="31">
        <v>1655.06538</v>
      </c>
      <c r="L26" s="28">
        <v>233.14695</v>
      </c>
      <c r="M26" s="29">
        <v>4075.3762270050001</v>
      </c>
      <c r="N26" s="31">
        <v>0</v>
      </c>
      <c r="O26" s="32">
        <v>4308.5231770050004</v>
      </c>
      <c r="P26" s="29">
        <v>6495.5799553822499</v>
      </c>
      <c r="Q26" s="27">
        <v>66.33</v>
      </c>
    </row>
    <row r="27" spans="1:17" ht="30" customHeight="1" x14ac:dyDescent="0.25">
      <c r="A27" s="3" t="s">
        <v>24</v>
      </c>
      <c r="B27" s="47">
        <v>232</v>
      </c>
      <c r="C27" s="48">
        <v>1028.9000000000001</v>
      </c>
      <c r="D27" s="49">
        <v>772.85627979992603</v>
      </c>
      <c r="E27" s="47">
        <v>27336</v>
      </c>
      <c r="F27" s="48">
        <v>115956.43310915701</v>
      </c>
      <c r="G27" s="48">
        <v>124378.199771409</v>
      </c>
      <c r="H27" s="49">
        <v>93.23</v>
      </c>
      <c r="I27" s="51">
        <v>1565.7882500000001</v>
      </c>
      <c r="J27" s="52">
        <v>0</v>
      </c>
      <c r="K27" s="52">
        <v>1565.7882500000001</v>
      </c>
      <c r="L27" s="47">
        <v>8704.6450731868099</v>
      </c>
      <c r="M27" s="48">
        <v>3858.71777464152</v>
      </c>
      <c r="N27" s="52">
        <v>0</v>
      </c>
      <c r="O27" s="49">
        <v>12563.362847828301</v>
      </c>
      <c r="P27" s="48">
        <v>20475.4520900356</v>
      </c>
      <c r="Q27" s="50">
        <v>61.36</v>
      </c>
    </row>
    <row r="28" spans="1:17" ht="23.1" customHeight="1" x14ac:dyDescent="0.25">
      <c r="A28" s="4" t="s">
        <v>25</v>
      </c>
      <c r="B28" s="28">
        <v>170</v>
      </c>
      <c r="C28" s="29">
        <v>687.73333333333301</v>
      </c>
      <c r="D28" s="32">
        <v>454.60066115136198</v>
      </c>
      <c r="E28" s="28">
        <v>14254</v>
      </c>
      <c r="F28" s="29">
        <v>48803.352873262796</v>
      </c>
      <c r="G28" s="29">
        <v>54843.082057607397</v>
      </c>
      <c r="H28" s="32">
        <v>88.99</v>
      </c>
      <c r="I28" s="31">
        <v>1483.82053</v>
      </c>
      <c r="J28" s="31">
        <v>0.3614</v>
      </c>
      <c r="K28" s="31">
        <v>1484.18193</v>
      </c>
      <c r="L28" s="28">
        <v>3684.1764654947101</v>
      </c>
      <c r="M28" s="29">
        <v>3555.7844</v>
      </c>
      <c r="N28" s="31">
        <v>0.1044446</v>
      </c>
      <c r="O28" s="32">
        <v>7240.0653100947102</v>
      </c>
      <c r="P28" s="29">
        <v>11404.388881438999</v>
      </c>
      <c r="Q28" s="27">
        <v>63.48</v>
      </c>
    </row>
    <row r="29" spans="1:17" ht="23.1" customHeight="1" x14ac:dyDescent="0.25">
      <c r="A29" s="3" t="s">
        <v>26</v>
      </c>
      <c r="B29" s="47">
        <v>254</v>
      </c>
      <c r="C29" s="48">
        <v>951.48329999999999</v>
      </c>
      <c r="D29" s="49">
        <v>669.06116998677498</v>
      </c>
      <c r="E29" s="47">
        <v>24103</v>
      </c>
      <c r="F29" s="48">
        <v>72589.7251873278</v>
      </c>
      <c r="G29" s="48">
        <v>83437.199127500498</v>
      </c>
      <c r="H29" s="49">
        <v>87</v>
      </c>
      <c r="I29" s="51">
        <v>1934.2844500000001</v>
      </c>
      <c r="J29" s="52">
        <v>0</v>
      </c>
      <c r="K29" s="52">
        <v>1934.2844500000001</v>
      </c>
      <c r="L29" s="47">
        <v>5444.7334990495901</v>
      </c>
      <c r="M29" s="48">
        <v>5017.414264</v>
      </c>
      <c r="N29" s="52">
        <v>0</v>
      </c>
      <c r="O29" s="49">
        <v>10462.147763049599</v>
      </c>
      <c r="P29" s="48">
        <v>16610.229839735501</v>
      </c>
      <c r="Q29" s="50">
        <v>62.99</v>
      </c>
    </row>
    <row r="30" spans="1:17" ht="23.1" customHeight="1" x14ac:dyDescent="0.25">
      <c r="A30" s="4" t="s">
        <v>27</v>
      </c>
      <c r="B30" s="28">
        <v>156</v>
      </c>
      <c r="C30" s="29">
        <v>569.41669999999999</v>
      </c>
      <c r="D30" s="32">
        <v>386.00799999999998</v>
      </c>
      <c r="E30" s="28">
        <v>0</v>
      </c>
      <c r="F30" s="29">
        <v>0</v>
      </c>
      <c r="G30" s="29">
        <v>0</v>
      </c>
      <c r="H30" s="32" t="s">
        <v>39</v>
      </c>
      <c r="I30" s="30">
        <v>2296.77864</v>
      </c>
      <c r="J30" s="31">
        <v>0</v>
      </c>
      <c r="K30" s="27">
        <v>2296.77864</v>
      </c>
      <c r="L30" s="29">
        <v>0</v>
      </c>
      <c r="M30" s="29">
        <v>5910.2698119999995</v>
      </c>
      <c r="N30" s="29">
        <v>0</v>
      </c>
      <c r="O30" s="29">
        <v>5910.2698119999995</v>
      </c>
      <c r="P30" s="28">
        <v>8710.0810000000001</v>
      </c>
      <c r="Q30" s="27">
        <v>67.86</v>
      </c>
    </row>
    <row r="31" spans="1:17" ht="23.1" customHeight="1" x14ac:dyDescent="0.25">
      <c r="A31" s="3" t="s">
        <v>28</v>
      </c>
      <c r="B31" s="47">
        <v>148</v>
      </c>
      <c r="C31" s="48">
        <v>546.81666666666695</v>
      </c>
      <c r="D31" s="49">
        <v>373.42599999999999</v>
      </c>
      <c r="E31" s="47">
        <v>144</v>
      </c>
      <c r="F31" s="48">
        <v>163</v>
      </c>
      <c r="G31" s="48">
        <v>210</v>
      </c>
      <c r="H31" s="49">
        <v>77.62</v>
      </c>
      <c r="I31" s="51">
        <v>2218.0772499999998</v>
      </c>
      <c r="J31" s="52">
        <v>0</v>
      </c>
      <c r="K31" s="52">
        <v>2218.0772499999998</v>
      </c>
      <c r="L31" s="51">
        <v>14.645</v>
      </c>
      <c r="M31" s="52">
        <v>5776.0487279999998</v>
      </c>
      <c r="N31" s="52">
        <v>0</v>
      </c>
      <c r="O31" s="50">
        <v>5790.6937280000002</v>
      </c>
      <c r="P31" s="48">
        <v>8387.39</v>
      </c>
      <c r="Q31" s="50">
        <v>69.040000000000006</v>
      </c>
    </row>
    <row r="32" spans="1:17" ht="23.1" customHeight="1" x14ac:dyDescent="0.25">
      <c r="A32" s="4" t="s">
        <v>29</v>
      </c>
      <c r="B32" s="28">
        <v>141</v>
      </c>
      <c r="C32" s="29">
        <v>530.06666666666695</v>
      </c>
      <c r="D32" s="32">
        <v>355.04</v>
      </c>
      <c r="E32" s="28">
        <v>0</v>
      </c>
      <c r="F32" s="29">
        <v>0</v>
      </c>
      <c r="G32" s="29">
        <v>0</v>
      </c>
      <c r="H32" s="32" t="s">
        <v>39</v>
      </c>
      <c r="I32" s="30">
        <v>2082.4171099999999</v>
      </c>
      <c r="J32" s="31">
        <v>0</v>
      </c>
      <c r="K32" s="31">
        <v>2082.4171099999999</v>
      </c>
      <c r="L32" s="30">
        <v>0</v>
      </c>
      <c r="M32" s="31">
        <v>5405.6514880000004</v>
      </c>
      <c r="N32" s="31">
        <v>0</v>
      </c>
      <c r="O32" s="27">
        <v>5405.6514880000004</v>
      </c>
      <c r="P32" s="29">
        <v>8056.2690000000002</v>
      </c>
      <c r="Q32" s="27">
        <v>67.099999999999994</v>
      </c>
    </row>
    <row r="33" spans="1:17" ht="23.1" customHeight="1" x14ac:dyDescent="0.25">
      <c r="A33" s="3" t="s">
        <v>30</v>
      </c>
      <c r="B33" s="47">
        <v>160</v>
      </c>
      <c r="C33" s="48">
        <v>533.49666666666701</v>
      </c>
      <c r="D33" s="49">
        <v>354.88783000000001</v>
      </c>
      <c r="E33" s="47">
        <v>157</v>
      </c>
      <c r="F33" s="48">
        <v>156.917</v>
      </c>
      <c r="G33" s="48">
        <v>793.71199999999999</v>
      </c>
      <c r="H33" s="49">
        <v>19.77</v>
      </c>
      <c r="I33" s="51">
        <v>2290.9060399999998</v>
      </c>
      <c r="J33" s="52">
        <v>0</v>
      </c>
      <c r="K33" s="52">
        <v>2290.9060399999998</v>
      </c>
      <c r="L33" s="51">
        <v>14.393879999999999</v>
      </c>
      <c r="M33" s="52">
        <v>5235.8267978000003</v>
      </c>
      <c r="N33" s="52">
        <v>0</v>
      </c>
      <c r="O33" s="50">
        <v>5250.2206778</v>
      </c>
      <c r="P33" s="48">
        <v>8267.5474588510097</v>
      </c>
      <c r="Q33" s="50">
        <v>63.5</v>
      </c>
    </row>
    <row r="34" spans="1:17" ht="23.1" customHeight="1" x14ac:dyDescent="0.25">
      <c r="A34" s="4" t="s">
        <v>31</v>
      </c>
      <c r="B34" s="33">
        <v>217</v>
      </c>
      <c r="C34" s="35">
        <v>692</v>
      </c>
      <c r="D34" s="36">
        <v>475.320472</v>
      </c>
      <c r="E34" s="33">
        <v>1355</v>
      </c>
      <c r="F34" s="35">
        <v>4211.3100000000004</v>
      </c>
      <c r="G34" s="35">
        <v>7909.893</v>
      </c>
      <c r="H34" s="29">
        <v>53.24</v>
      </c>
      <c r="I34" s="38">
        <v>2878.39221</v>
      </c>
      <c r="J34" s="39">
        <v>0</v>
      </c>
      <c r="K34" s="39">
        <v>2878.39221</v>
      </c>
      <c r="L34" s="38">
        <v>315.84825000000001</v>
      </c>
      <c r="M34" s="39">
        <v>6374.6255414999996</v>
      </c>
      <c r="N34" s="39">
        <v>0</v>
      </c>
      <c r="O34" s="37">
        <v>6690.4737914999996</v>
      </c>
      <c r="P34" s="39">
        <v>10777.660110999999</v>
      </c>
      <c r="Q34" s="37">
        <v>62.08</v>
      </c>
    </row>
    <row r="35" spans="1:17" ht="23.1" customHeight="1" x14ac:dyDescent="0.25">
      <c r="A35" s="62" t="s">
        <v>32</v>
      </c>
      <c r="B35" s="54">
        <f t="shared" ref="B35:G35" si="5">SUM(B23:B34)</f>
        <v>1973</v>
      </c>
      <c r="C35" s="54">
        <f t="shared" si="5"/>
        <v>7358.5466666666671</v>
      </c>
      <c r="D35" s="54">
        <f t="shared" si="5"/>
        <v>5037.038517963505</v>
      </c>
      <c r="E35" s="54">
        <f t="shared" si="5"/>
        <v>69751</v>
      </c>
      <c r="F35" s="54">
        <f t="shared" si="5"/>
        <v>247380.06416974758</v>
      </c>
      <c r="G35" s="54">
        <f t="shared" si="5"/>
        <v>278552.16795651685</v>
      </c>
      <c r="H35" s="55">
        <f t="shared" ref="H35" si="6">IFERROR(F35/G35*100," ")</f>
        <v>88.809240288650216</v>
      </c>
      <c r="I35" s="55">
        <f>SUM(I23:I34)</f>
        <v>23772.933169999997</v>
      </c>
      <c r="J35" s="55">
        <f>SUM(J23:J34)</f>
        <v>0.3614</v>
      </c>
      <c r="K35" s="55">
        <f t="shared" ref="K35" si="7">IF(AND(ISBLANK(I35),ISBLANK(J35))=TRUE,"",I35+J35)</f>
        <v>23773.294569999998</v>
      </c>
      <c r="L35" s="55">
        <f>SUM(L23:L34)</f>
        <v>18618.76779773111</v>
      </c>
      <c r="M35" s="55">
        <f>SUM(M23:M34)</f>
        <v>58102.354152240296</v>
      </c>
      <c r="N35" s="55">
        <f>SUM(N23:N34)</f>
        <v>0.1044446</v>
      </c>
      <c r="O35" s="55">
        <f t="shared" ref="O35" si="8">IF(AND(ISBLANK(L35),ISBLANK(M35),ISBLANK(N35))=TRUE,"",L35+M35+N35)</f>
        <v>76721.226394571408</v>
      </c>
      <c r="P35" s="55">
        <f>SUM(P23:P34)</f>
        <v>119146.41474245365</v>
      </c>
      <c r="Q35" s="55">
        <f t="shared" ref="Q35" si="9">IFERROR(O35/P35*100," ")</f>
        <v>64.392391966146576</v>
      </c>
    </row>
    <row r="36" spans="1:17" ht="18.75" customHeight="1" x14ac:dyDescent="0.25">
      <c r="A36" s="69" t="s">
        <v>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1"/>
    </row>
    <row r="37" spans="1:17" ht="15.75" x14ac:dyDescent="0.25">
      <c r="A37" s="66" t="s">
        <v>33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8"/>
    </row>
    <row r="38" spans="1:17" ht="15.75" x14ac:dyDescent="0.25">
      <c r="A38" s="66" t="s">
        <v>34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8"/>
    </row>
    <row r="39" spans="1:17" ht="28.9" customHeight="1" x14ac:dyDescent="0.25"/>
    <row r="40" spans="1:17" ht="178.5" customHeight="1" x14ac:dyDescent="0.3">
      <c r="H40" s="56"/>
      <c r="Q40" s="56"/>
    </row>
    <row r="41" spans="1:17" ht="25.5" customHeight="1" x14ac:dyDescent="0.25"/>
    <row r="42" spans="1:17" ht="25.5" customHeight="1" x14ac:dyDescent="0.3">
      <c r="H42" s="56"/>
      <c r="Q42" s="56"/>
    </row>
    <row r="43" spans="1:17" ht="25.5" customHeight="1" x14ac:dyDescent="0.25"/>
    <row r="44" spans="1:17" ht="25.5" customHeight="1" x14ac:dyDescent="0.3">
      <c r="H44" s="56"/>
      <c r="Q44" s="56"/>
    </row>
    <row r="45" spans="1:17" ht="25.5" customHeight="1" x14ac:dyDescent="0.25"/>
    <row r="46" spans="1:17" ht="25.5" customHeight="1" x14ac:dyDescent="0.3">
      <c r="H46" s="56"/>
      <c r="Q46" s="56"/>
    </row>
    <row r="47" spans="1:17" ht="25.5" customHeight="1" x14ac:dyDescent="0.25"/>
    <row r="48" spans="1:17" ht="25.5" customHeight="1" x14ac:dyDescent="0.3">
      <c r="H48" s="56"/>
      <c r="Q48" s="56"/>
    </row>
    <row r="49" spans="8:17" ht="25.5" customHeight="1" x14ac:dyDescent="0.25"/>
    <row r="50" spans="8:17" ht="25.5" customHeight="1" x14ac:dyDescent="0.3">
      <c r="H50" s="56"/>
      <c r="Q50" s="56"/>
    </row>
    <row r="51" spans="8:17" ht="25.5" customHeight="1" x14ac:dyDescent="0.25"/>
    <row r="52" spans="8:17" ht="25.5" customHeight="1" x14ac:dyDescent="0.3">
      <c r="H52" s="56"/>
      <c r="Q52" s="56"/>
    </row>
    <row r="53" spans="8:17" ht="25.5" customHeight="1" x14ac:dyDescent="0.25"/>
    <row r="54" spans="8:17" ht="22.5" customHeight="1" x14ac:dyDescent="0.3">
      <c r="H54" s="56"/>
      <c r="Q54" s="56"/>
    </row>
    <row r="55" spans="8:17" ht="22.5" customHeight="1" x14ac:dyDescent="0.25"/>
    <row r="56" spans="8:17" ht="22.5" customHeight="1" x14ac:dyDescent="0.3">
      <c r="H56" s="56"/>
      <c r="Q56" s="56"/>
    </row>
    <row r="57" spans="8:17" ht="47.25" customHeight="1" x14ac:dyDescent="0.3">
      <c r="H57" s="56"/>
      <c r="Q57" s="56"/>
    </row>
    <row r="58" spans="8:17" ht="28.9" customHeight="1" x14ac:dyDescent="0.3">
      <c r="H58" s="56"/>
      <c r="Q58" s="56"/>
    </row>
    <row r="59" spans="8:17" ht="164.25" customHeight="1" x14ac:dyDescent="0.3">
      <c r="H59" s="56"/>
      <c r="Q59" s="56"/>
    </row>
    <row r="60" spans="8:17" ht="24.75" customHeight="1" x14ac:dyDescent="0.3">
      <c r="H60" s="56"/>
      <c r="Q60" s="56"/>
    </row>
    <row r="61" spans="8:17" ht="24.75" customHeight="1" x14ac:dyDescent="0.3">
      <c r="H61" s="56"/>
      <c r="Q61" s="56"/>
    </row>
    <row r="62" spans="8:17" ht="24.75" customHeight="1" x14ac:dyDescent="0.3">
      <c r="H62" s="56"/>
      <c r="Q62" s="56"/>
    </row>
    <row r="63" spans="8:17" ht="24.75" customHeight="1" x14ac:dyDescent="0.25"/>
    <row r="64" spans="8:17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82" spans="8:17" ht="18.75" x14ac:dyDescent="0.3">
      <c r="H82" s="56"/>
      <c r="Q82" s="56"/>
    </row>
    <row r="85" spans="8:17" ht="18.75" x14ac:dyDescent="0.3">
      <c r="H85" s="56"/>
      <c r="Q85" s="56"/>
    </row>
    <row r="87" spans="8:17" ht="18.75" x14ac:dyDescent="0.3">
      <c r="H87" s="56"/>
      <c r="Q87" s="56"/>
    </row>
    <row r="89" spans="8:17" ht="18.75" x14ac:dyDescent="0.3">
      <c r="H89" s="56"/>
      <c r="Q89" s="56"/>
    </row>
    <row r="91" spans="8:17" ht="18.75" x14ac:dyDescent="0.3">
      <c r="H91" s="56"/>
      <c r="Q91" s="56"/>
    </row>
    <row r="93" spans="8:17" ht="18.75" x14ac:dyDescent="0.3">
      <c r="H93" s="56"/>
      <c r="Q93" s="56"/>
    </row>
    <row r="95" spans="8:17" ht="18.75" x14ac:dyDescent="0.3">
      <c r="H95" s="56"/>
      <c r="Q95" s="56"/>
    </row>
    <row r="97" spans="8:17" ht="18.75" x14ac:dyDescent="0.3">
      <c r="H97" s="56"/>
      <c r="Q97" s="56"/>
    </row>
    <row r="99" spans="8:17" ht="18.75" x14ac:dyDescent="0.3">
      <c r="H99" s="56"/>
      <c r="Q99" s="56"/>
    </row>
    <row r="101" spans="8:17" ht="18.75" x14ac:dyDescent="0.3">
      <c r="H101" s="56"/>
      <c r="Q101" s="56"/>
    </row>
    <row r="102" spans="8:17" ht="18.75" x14ac:dyDescent="0.3">
      <c r="Q102" s="56"/>
    </row>
    <row r="103" spans="8:17" ht="18.75" x14ac:dyDescent="0.3">
      <c r="H103" s="56"/>
      <c r="Q103" s="56"/>
    </row>
    <row r="104" spans="8:17" ht="18.75" x14ac:dyDescent="0.3">
      <c r="H104" s="56"/>
      <c r="Q104" s="56"/>
    </row>
    <row r="105" spans="8:17" ht="18.75" x14ac:dyDescent="0.3">
      <c r="H105" s="56"/>
      <c r="Q105" s="56"/>
    </row>
    <row r="106" spans="8:17" ht="18.75" x14ac:dyDescent="0.3">
      <c r="H106" s="56"/>
      <c r="Q106" s="56"/>
    </row>
    <row r="107" spans="8:17" ht="18.75" x14ac:dyDescent="0.3">
      <c r="H107" s="56"/>
      <c r="Q107" s="56"/>
    </row>
    <row r="130" spans="8:17" ht="18.75" x14ac:dyDescent="0.3">
      <c r="H130" s="56"/>
      <c r="Q130" s="56"/>
    </row>
    <row r="133" spans="8:17" ht="18.75" x14ac:dyDescent="0.3">
      <c r="H133" s="56"/>
      <c r="Q133" s="56"/>
    </row>
    <row r="135" spans="8:17" ht="18.75" x14ac:dyDescent="0.3">
      <c r="H135" s="56"/>
      <c r="Q135" s="56"/>
    </row>
    <row r="137" spans="8:17" ht="18.75" x14ac:dyDescent="0.3">
      <c r="H137" s="56"/>
      <c r="Q137" s="56"/>
    </row>
    <row r="139" spans="8:17" ht="18.75" x14ac:dyDescent="0.3">
      <c r="H139" s="56"/>
      <c r="Q139" s="56"/>
    </row>
    <row r="141" spans="8:17" ht="18.75" x14ac:dyDescent="0.3">
      <c r="H141" s="56"/>
      <c r="Q141" s="56"/>
    </row>
    <row r="143" spans="8:17" ht="18.75" x14ac:dyDescent="0.3">
      <c r="H143" s="56"/>
      <c r="Q143" s="56"/>
    </row>
    <row r="145" spans="8:17" ht="18.75" x14ac:dyDescent="0.3">
      <c r="H145" s="56"/>
      <c r="Q145" s="56"/>
    </row>
    <row r="147" spans="8:17" ht="18.75" x14ac:dyDescent="0.3">
      <c r="H147" s="56"/>
      <c r="Q147" s="56"/>
    </row>
    <row r="149" spans="8:17" ht="18.75" x14ac:dyDescent="0.3">
      <c r="H149" s="56"/>
      <c r="Q149" s="56"/>
    </row>
    <row r="151" spans="8:17" ht="18.75" x14ac:dyDescent="0.3">
      <c r="H151" s="56"/>
      <c r="Q151" s="56"/>
    </row>
    <row r="153" spans="8:17" ht="18.75" x14ac:dyDescent="0.3">
      <c r="H153" s="56"/>
      <c r="Q153" s="56"/>
    </row>
    <row r="155" spans="8:17" ht="18.75" x14ac:dyDescent="0.3">
      <c r="H155" s="56"/>
      <c r="Q155" s="56"/>
    </row>
    <row r="178" spans="8:17" ht="18.75" x14ac:dyDescent="0.3">
      <c r="H178" s="56"/>
      <c r="Q178" s="56"/>
    </row>
    <row r="180" spans="8:17" ht="18.75" x14ac:dyDescent="0.3">
      <c r="H180" s="56"/>
      <c r="Q180" s="56"/>
    </row>
    <row r="181" spans="8:17" ht="18.75" x14ac:dyDescent="0.3">
      <c r="H181" s="56"/>
      <c r="Q181" s="56"/>
    </row>
    <row r="182" spans="8:17" ht="18.75" x14ac:dyDescent="0.3">
      <c r="H182" s="56"/>
      <c r="Q182" s="56"/>
    </row>
    <row r="183" spans="8:17" ht="18.75" x14ac:dyDescent="0.3">
      <c r="H183" s="56"/>
      <c r="Q183" s="56"/>
    </row>
    <row r="184" spans="8:17" ht="18.75" x14ac:dyDescent="0.3">
      <c r="H184" s="56"/>
      <c r="Q184" s="56"/>
    </row>
    <row r="185" spans="8:17" ht="18.75" x14ac:dyDescent="0.3">
      <c r="H185" s="56"/>
      <c r="Q185" s="56"/>
    </row>
    <row r="186" spans="8:17" ht="18.75" x14ac:dyDescent="0.3">
      <c r="H186" s="56"/>
      <c r="Q186" s="56"/>
    </row>
    <row r="187" spans="8:17" ht="18.75" x14ac:dyDescent="0.3">
      <c r="H187" s="56"/>
      <c r="Q187" s="56"/>
    </row>
    <row r="188" spans="8:17" ht="18.75" x14ac:dyDescent="0.3">
      <c r="H188" s="56"/>
      <c r="Q188" s="56"/>
    </row>
    <row r="189" spans="8:17" ht="18.75" x14ac:dyDescent="0.3">
      <c r="H189" s="56"/>
      <c r="Q189" s="56"/>
    </row>
    <row r="190" spans="8:17" ht="18.75" x14ac:dyDescent="0.3">
      <c r="H190" s="56"/>
      <c r="Q190" s="56"/>
    </row>
    <row r="191" spans="8:17" ht="18.75" x14ac:dyDescent="0.3">
      <c r="H191" s="56"/>
      <c r="Q191" s="56"/>
    </row>
    <row r="192" spans="8:17" ht="18.75" x14ac:dyDescent="0.3">
      <c r="H192" s="56"/>
      <c r="Q192" s="56"/>
    </row>
    <row r="193" spans="8:17" ht="18.75" x14ac:dyDescent="0.3">
      <c r="H193" s="56"/>
      <c r="Q193" s="56"/>
    </row>
    <row r="194" spans="8:17" ht="18.75" x14ac:dyDescent="0.3">
      <c r="H194" s="56"/>
      <c r="Q194" s="56"/>
    </row>
    <row r="195" spans="8:17" ht="18.75" x14ac:dyDescent="0.3">
      <c r="H195" s="56"/>
      <c r="Q195" s="56"/>
    </row>
    <row r="196" spans="8:17" ht="18.75" x14ac:dyDescent="0.3">
      <c r="H196" s="56"/>
      <c r="Q196" s="56"/>
    </row>
    <row r="197" spans="8:17" ht="18.75" x14ac:dyDescent="0.3">
      <c r="H197" s="56"/>
      <c r="Q197" s="56"/>
    </row>
    <row r="198" spans="8:17" ht="18.75" x14ac:dyDescent="0.3">
      <c r="H198" s="56"/>
      <c r="Q198" s="56"/>
    </row>
    <row r="199" spans="8:17" ht="18.75" x14ac:dyDescent="0.3">
      <c r="H199" s="56"/>
      <c r="Q199" s="56"/>
    </row>
    <row r="200" spans="8:17" ht="18.75" x14ac:dyDescent="0.3">
      <c r="H200" s="56"/>
      <c r="Q200" s="56"/>
    </row>
    <row r="201" spans="8:17" ht="18.75" x14ac:dyDescent="0.3">
      <c r="H201" s="56"/>
      <c r="Q201" s="56"/>
    </row>
    <row r="202" spans="8:17" ht="18.75" x14ac:dyDescent="0.3">
      <c r="H202" s="56"/>
      <c r="Q202" s="56"/>
    </row>
    <row r="203" spans="8:17" ht="18.75" x14ac:dyDescent="0.3">
      <c r="H203" s="56"/>
      <c r="Q203" s="56"/>
    </row>
    <row r="226" spans="8:17" ht="18.75" x14ac:dyDescent="0.3">
      <c r="H226" s="56"/>
      <c r="Q226" s="56"/>
    </row>
    <row r="229" spans="8:17" ht="18.75" x14ac:dyDescent="0.3">
      <c r="H229" s="56"/>
      <c r="Q229" s="56"/>
    </row>
    <row r="231" spans="8:17" ht="18.75" x14ac:dyDescent="0.3">
      <c r="H231" s="56"/>
      <c r="Q231" s="56"/>
    </row>
    <row r="232" spans="8:17" ht="18.75" x14ac:dyDescent="0.3">
      <c r="H232" s="56"/>
    </row>
    <row r="233" spans="8:17" ht="18.75" x14ac:dyDescent="0.3">
      <c r="H233" s="56"/>
      <c r="Q233" s="56"/>
    </row>
    <row r="235" spans="8:17" ht="18.75" x14ac:dyDescent="0.3">
      <c r="H235" s="56"/>
      <c r="Q235" s="56"/>
    </row>
    <row r="237" spans="8:17" ht="18.75" x14ac:dyDescent="0.3">
      <c r="H237" s="56"/>
      <c r="Q237" s="56"/>
    </row>
    <row r="239" spans="8:17" ht="18.75" x14ac:dyDescent="0.3">
      <c r="H239" s="56"/>
      <c r="Q239" s="56"/>
    </row>
    <row r="241" spans="8:17" ht="18.75" x14ac:dyDescent="0.3">
      <c r="H241" s="56"/>
      <c r="Q241" s="56"/>
    </row>
    <row r="243" spans="8:17" ht="18.75" x14ac:dyDescent="0.3">
      <c r="H243" s="56"/>
      <c r="Q243" s="56"/>
    </row>
    <row r="245" spans="8:17" ht="18.75" x14ac:dyDescent="0.3">
      <c r="H245" s="56"/>
      <c r="Q245" s="56"/>
    </row>
    <row r="246" spans="8:17" ht="18.75" x14ac:dyDescent="0.3">
      <c r="H246" s="56"/>
      <c r="Q246" s="56"/>
    </row>
    <row r="247" spans="8:17" ht="18.75" x14ac:dyDescent="0.3">
      <c r="H247" s="56"/>
      <c r="Q247" s="56"/>
    </row>
    <row r="248" spans="8:17" ht="18.75" x14ac:dyDescent="0.3">
      <c r="H248" s="56"/>
      <c r="Q248" s="56"/>
    </row>
    <row r="249" spans="8:17" ht="18.75" x14ac:dyDescent="0.3">
      <c r="H249" s="56"/>
      <c r="Q249" s="56"/>
    </row>
    <row r="250" spans="8:17" ht="18.75" x14ac:dyDescent="0.3">
      <c r="H250" s="56"/>
      <c r="Q250" s="56"/>
    </row>
    <row r="251" spans="8:17" ht="18.75" x14ac:dyDescent="0.3">
      <c r="H251" s="56"/>
      <c r="Q251" s="56"/>
    </row>
    <row r="253" spans="8:17" ht="18.75" x14ac:dyDescent="0.3">
      <c r="H253" s="56"/>
    </row>
    <row r="272" spans="8:17" ht="18.75" x14ac:dyDescent="0.3">
      <c r="H272" s="56"/>
      <c r="Q272" s="56"/>
    </row>
    <row r="275" spans="8:17" ht="18.75" x14ac:dyDescent="0.3">
      <c r="H275" s="56"/>
      <c r="Q275" s="56"/>
    </row>
    <row r="277" spans="8:17" ht="18.75" x14ac:dyDescent="0.3">
      <c r="H277" s="56"/>
      <c r="Q277" s="56"/>
    </row>
    <row r="279" spans="8:17" ht="18.75" x14ac:dyDescent="0.3">
      <c r="H279" s="56"/>
      <c r="Q279" s="56"/>
    </row>
    <row r="281" spans="8:17" ht="18.75" x14ac:dyDescent="0.3">
      <c r="H281" s="56"/>
      <c r="Q281" s="56"/>
    </row>
    <row r="283" spans="8:17" ht="18.75" x14ac:dyDescent="0.3">
      <c r="H283" s="56"/>
      <c r="Q283" s="56"/>
    </row>
    <row r="285" spans="8:17" ht="18.75" x14ac:dyDescent="0.3">
      <c r="H285" s="56"/>
      <c r="Q285" s="56"/>
    </row>
    <row r="287" spans="8:17" ht="18.75" x14ac:dyDescent="0.3">
      <c r="H287" s="56"/>
      <c r="Q287" s="56"/>
    </row>
    <row r="289" spans="8:17" ht="18.75" x14ac:dyDescent="0.3">
      <c r="H289" s="56"/>
      <c r="Q289" s="56"/>
    </row>
    <row r="291" spans="8:17" ht="18.75" x14ac:dyDescent="0.3">
      <c r="H291" s="56"/>
      <c r="Q291" s="56"/>
    </row>
    <row r="293" spans="8:17" ht="18.75" x14ac:dyDescent="0.3">
      <c r="H293" s="56"/>
      <c r="Q293" s="56"/>
    </row>
    <row r="295" spans="8:17" ht="18.75" x14ac:dyDescent="0.3">
      <c r="H295" s="56"/>
      <c r="Q295" s="56"/>
    </row>
    <row r="297" spans="8:17" ht="18.75" x14ac:dyDescent="0.3">
      <c r="H297" s="56"/>
      <c r="Q297" s="56"/>
    </row>
    <row r="323" spans="8:17" ht="18.75" x14ac:dyDescent="0.3">
      <c r="Q323" s="56"/>
    </row>
    <row r="325" spans="8:17" ht="18.75" x14ac:dyDescent="0.3">
      <c r="H325" s="56"/>
      <c r="Q325" s="56"/>
    </row>
    <row r="327" spans="8:17" ht="18.75" x14ac:dyDescent="0.3">
      <c r="H327" s="56"/>
    </row>
    <row r="329" spans="8:17" ht="18.75" x14ac:dyDescent="0.3">
      <c r="H329" s="56"/>
      <c r="Q329" s="56"/>
    </row>
    <row r="357" spans="8:17" ht="18.75" x14ac:dyDescent="0.3">
      <c r="H357" s="56"/>
    </row>
    <row r="359" spans="8:17" ht="18.75" x14ac:dyDescent="0.3">
      <c r="Q359" s="56"/>
    </row>
    <row r="360" spans="8:17" ht="18.75" x14ac:dyDescent="0.3">
      <c r="Q360" s="56"/>
    </row>
    <row r="361" spans="8:17" ht="18.75" x14ac:dyDescent="0.3">
      <c r="Q361" s="56"/>
    </row>
    <row r="362" spans="8:17" ht="18.75" x14ac:dyDescent="0.3">
      <c r="Q362" s="56"/>
    </row>
    <row r="363" spans="8:17" ht="18.75" x14ac:dyDescent="0.3">
      <c r="H363" s="56"/>
      <c r="Q363" s="56"/>
    </row>
    <row r="365" spans="8:17" ht="18.75" x14ac:dyDescent="0.3">
      <c r="H365" s="56"/>
      <c r="Q365" s="56"/>
    </row>
    <row r="368" spans="8:17" ht="18.75" x14ac:dyDescent="0.3">
      <c r="Q368" s="56"/>
    </row>
    <row r="392" spans="8:17" ht="18.75" x14ac:dyDescent="0.3">
      <c r="Q392" s="56"/>
    </row>
    <row r="393" spans="8:17" ht="18.75" x14ac:dyDescent="0.3">
      <c r="H393" s="56"/>
      <c r="Q393" s="56"/>
    </row>
    <row r="394" spans="8:17" ht="18.75" x14ac:dyDescent="0.3">
      <c r="H394" s="56"/>
      <c r="Q394" s="56"/>
    </row>
    <row r="395" spans="8:17" ht="18.75" x14ac:dyDescent="0.3">
      <c r="H395" s="56"/>
      <c r="Q395" s="56"/>
    </row>
    <row r="396" spans="8:17" ht="18.75" x14ac:dyDescent="0.3">
      <c r="H396" s="56"/>
      <c r="Q396" s="56"/>
    </row>
    <row r="397" spans="8:17" ht="18.75" x14ac:dyDescent="0.3">
      <c r="H397" s="56"/>
      <c r="Q397" s="56"/>
    </row>
    <row r="398" spans="8:17" ht="18.75" x14ac:dyDescent="0.3">
      <c r="H398" s="56"/>
      <c r="Q398" s="56"/>
    </row>
    <row r="400" spans="8:17" ht="18.75" x14ac:dyDescent="0.3">
      <c r="H400" s="56"/>
      <c r="Q400" s="56"/>
    </row>
    <row r="454" spans="13:13" ht="18.75" x14ac:dyDescent="0.3">
      <c r="M454" s="57"/>
    </row>
    <row r="455" spans="13:13" ht="18.75" x14ac:dyDescent="0.3">
      <c r="M455" s="1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8:Q18"/>
    <mergeCell ref="A37:Q37"/>
    <mergeCell ref="A19:Q19"/>
    <mergeCell ref="A36:Q36"/>
    <mergeCell ref="A17:Q17"/>
  </mergeCells>
  <pageMargins left="0.7" right="0.7" top="0.75" bottom="0.5" header="0.3" footer="0.3"/>
  <pageSetup scale="65" firstPageNumber="76" orientation="landscape" useFirstPageNumber="1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Monthly_Template</vt:lpstr>
      <vt:lpstr>Monthly_Template!\x</vt:lpstr>
      <vt:lpstr>Monthly_Template!Print_Area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2025-04-22T10:08:32Z</cp:lastPrinted>
  <dcterms:created xsi:type="dcterms:W3CDTF">2021-03-02T10:01:37Z</dcterms:created>
  <dcterms:modified xsi:type="dcterms:W3CDTF">2026-02-26T12:44:26Z</dcterms:modified>
</cp:coreProperties>
</file>