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December 2025 Monthly Data to be uploaded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H35" i="1" s="1"/>
  <c r="F35" i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<sst xmlns="http://schemas.openxmlformats.org/spreadsheetml/2006/main" count="157" uniqueCount="44">
  <si>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</si>
  <si>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</si>
  <si>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</si>
  <si>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</si>
  <si>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</si>
  <si>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</si>
  <si>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</si>
  <si>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</si>
  <si>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</si>
  <si>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</si>
  <si>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</si>
  <si>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</si>
  <si>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</si>
  <si>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</si>
  <si>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</si>
  <si>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</si>
  <si>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</si>
  <si>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</si>
  <si>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</si>
  <si>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</si>
  <si>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</si>
  <si>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</si>
  <si>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</si>
  <si>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</si>
  <si>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</si>
  <si>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</si>
  <si>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</si>
  <si>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</si>
  <si>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</si>
  <si>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</si>
  <si>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</si>
  <si>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</si>
  <si>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</si>
  <si>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</si>
  <si>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</si>
  <si>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</si>
  <si>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</si>
  <si>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</si>
  <si>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</si>
  <si>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</si>
  <si>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</si>
  <si>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</si>
  <si>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AIR INDIA EXPRESS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</si>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</sst>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Normal="85" zoomScaleSheetLayoutView="100" workbookViewId="0">
      <selection activeCell="L3" sqref="L3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54" t="s">
        <v>43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42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38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39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8829</v>
      </c>
      <c r="C4" s="21">
        <v>16751.2833333333</v>
      </c>
      <c r="D4" s="22">
        <v>8965.4129185555503</v>
      </c>
      <c r="E4" s="23">
        <v>1335289</v>
      </c>
      <c r="F4" s="21">
        <v>1368801.5404302201</v>
      </c>
      <c r="G4" s="21">
        <v>1603964.6505354301</v>
      </c>
      <c r="H4" s="25">
        <v>85.34</v>
      </c>
      <c r="I4" s="26">
        <v>4902.98440316303</v>
      </c>
      <c r="J4" s="27">
        <v>0</v>
      </c>
      <c r="K4" s="25">
        <v>4902.98440316303</v>
      </c>
      <c r="L4" s="26">
        <v>136880.15404302199</v>
      </c>
      <c r="M4" s="27">
        <v>6103.8577900926402</v>
      </c>
      <c r="N4" s="27">
        <v>0</v>
      </c>
      <c r="O4" s="25">
        <v>142984.011833114</v>
      </c>
      <c r="P4" s="27">
        <v>179308.25837111101</v>
      </c>
      <c r="Q4" s="25">
        <v>79.739999999999995</v>
      </c>
    </row>
    <row r="5" spans="1:17" ht="23.1" customHeight="1" x14ac:dyDescent="0.25">
      <c r="A5" s="43" t="s">
        <v>20</v>
      </c>
      <c r="B5" s="64">
        <v>9362</v>
      </c>
      <c r="C5" s="64">
        <v>17713.133333333401</v>
      </c>
      <c r="D5" s="53">
        <v>9478.9007472168905</v>
      </c>
      <c r="E5" s="75">
        <v>1423613</v>
      </c>
      <c r="F5" s="64">
        <v>1464138.10239125</v>
      </c>
      <c r="G5" s="64">
        <v>1690841.6019560001</v>
      </c>
      <c r="H5" s="84">
        <v>86.59</v>
      </c>
      <c r="I5" s="93">
        <v>2393.5104299999998</v>
      </c>
      <c r="J5" s="102">
        <v>0</v>
      </c>
      <c r="K5" s="84">
        <v>2393.5104299999998</v>
      </c>
      <c r="L5" s="93">
        <v>146413.81023912501</v>
      </c>
      <c r="M5" s="102">
        <v>3038.4616309204898</v>
      </c>
      <c r="N5" s="102">
        <v>0</v>
      </c>
      <c r="O5" s="84">
        <v>149452.27187004499</v>
      </c>
      <c r="P5" s="102">
        <v>189578.01494433801</v>
      </c>
      <c r="Q5" s="84">
        <v>78.83</v>
      </c>
    </row>
    <row r="6" spans="1:17" ht="23.1" customHeight="1" x14ac:dyDescent="0.25">
      <c r="A6" s="45" t="s">
        <v>21</v>
      </c>
      <c r="B6" s="29">
        <v>11068</v>
      </c>
      <c r="C6" s="29">
        <v>20987.866666666701</v>
      </c>
      <c r="D6" s="28">
        <v>11211.272777165999</v>
      </c>
      <c r="E6" s="30">
        <v>1575238</v>
      </c>
      <c r="F6" s="29">
        <v>1617039.84329553</v>
      </c>
      <c r="G6" s="29">
        <v>2001710.96625967</v>
      </c>
      <c r="H6" s="31">
        <v>80.78</v>
      </c>
      <c r="I6" s="32">
        <v>4967.2423399999998</v>
      </c>
      <c r="J6" s="33">
        <v>0</v>
      </c>
      <c r="K6" s="31">
        <v>4967.2423399999998</v>
      </c>
      <c r="L6" s="32">
        <v>161703.984329553</v>
      </c>
      <c r="M6" s="33">
        <v>5853.4320813198101</v>
      </c>
      <c r="N6" s="33">
        <v>0</v>
      </c>
      <c r="O6" s="31">
        <v>167557.416410873</v>
      </c>
      <c r="P6" s="33">
        <v>224225.455543319</v>
      </c>
      <c r="Q6" s="31">
        <v>74.73</v>
      </c>
    </row>
    <row r="7" spans="1:17" ht="23.1" customHeight="1" x14ac:dyDescent="0.25">
      <c r="A7" s="43" t="s">
        <v>22</v>
      </c>
      <c r="B7" s="64">
        <v>11433</v>
      </c>
      <c r="C7" s="64">
        <v>21807.35</v>
      </c>
      <c r="D7" s="53">
        <v>11611.7452497534</v>
      </c>
      <c r="E7" s="75">
        <v>1709127</v>
      </c>
      <c r="F7" s="64">
        <v>1760620.76644004</v>
      </c>
      <c r="G7" s="64">
        <v>2074569.9310886699</v>
      </c>
      <c r="H7" s="84">
        <v>84.87</v>
      </c>
      <c r="I7" s="93">
        <v>5361.7488668784499</v>
      </c>
      <c r="J7" s="102">
        <v>0</v>
      </c>
      <c r="K7" s="84">
        <v>5361.7488668784499</v>
      </c>
      <c r="L7" s="93">
        <v>176062.076644004</v>
      </c>
      <c r="M7" s="102">
        <v>7050.8173904579699</v>
      </c>
      <c r="N7" s="102">
        <v>0</v>
      </c>
      <c r="O7" s="84">
        <v>183112.89403446199</v>
      </c>
      <c r="P7" s="102">
        <v>232234.90499506699</v>
      </c>
      <c r="Q7" s="84">
        <v>78.849999999999994</v>
      </c>
    </row>
    <row r="8" spans="1:17" ht="30" customHeight="1" x14ac:dyDescent="0.25">
      <c r="A8" s="45" t="s">
        <v>23</v>
      </c>
      <c r="B8" s="29">
        <v>11050</v>
      </c>
      <c r="C8" s="29">
        <v>20902.016666666699</v>
      </c>
      <c r="D8" s="28">
        <v>11059.200971554301</v>
      </c>
      <c r="E8" s="30">
        <v>1628871</v>
      </c>
      <c r="F8" s="29">
        <v>1651625.1561162199</v>
      </c>
      <c r="G8" s="29">
        <v>1991092.6487441701</v>
      </c>
      <c r="H8" s="31">
        <v>82.95</v>
      </c>
      <c r="I8" s="32">
        <v>5566.8829599999999</v>
      </c>
      <c r="J8" s="33">
        <v>0</v>
      </c>
      <c r="K8" s="31">
        <v>5566.8829599999999</v>
      </c>
      <c r="L8" s="32">
        <v>165162.51561162199</v>
      </c>
      <c r="M8" s="33">
        <v>6275.6453442316397</v>
      </c>
      <c r="N8" s="33">
        <v>0</v>
      </c>
      <c r="O8" s="31">
        <v>171438.16095585399</v>
      </c>
      <c r="P8" s="33">
        <v>221184.01943108701</v>
      </c>
      <c r="Q8" s="31">
        <v>77.510000000000005</v>
      </c>
    </row>
    <row r="9" spans="1:17" ht="23.1" customHeight="1" x14ac:dyDescent="0.25">
      <c r="A9" s="43" t="s">
        <v>40</v>
      </c>
      <c r="B9" s="64">
        <v>11095</v>
      </c>
      <c r="C9" s="64">
        <v>20931.45</v>
      </c>
      <c r="D9" s="53">
        <v>11022.056154391001</v>
      </c>
      <c r="E9" s="75">
        <v>1594172</v>
      </c>
      <c r="F9" s="64">
        <v>1627031.9583346599</v>
      </c>
      <c r="G9" s="64">
        <v>1988323.3936848701</v>
      </c>
      <c r="H9" s="84">
        <v>81.83</v>
      </c>
      <c r="I9" s="93">
        <v>6522.86042</v>
      </c>
      <c r="J9" s="102">
        <v>0</v>
      </c>
      <c r="K9" s="84">
        <v>6522.86042</v>
      </c>
      <c r="L9" s="93">
        <v>162703.19583346599</v>
      </c>
      <c r="M9" s="102">
        <v>7784.8059665700002</v>
      </c>
      <c r="N9" s="102">
        <v>0</v>
      </c>
      <c r="O9" s="84">
        <v>170488.001800036</v>
      </c>
      <c r="P9" s="102">
        <v>220441.123087821</v>
      </c>
      <c r="Q9" s="84">
        <v>77.34</v>
      </c>
    </row>
    <row r="10" spans="1:17" ht="23.1" customHeight="1" x14ac:dyDescent="0.25">
      <c r="A10" s="45" t="s">
        <v>24</v>
      </c>
      <c r="B10" s="29">
        <v>10223</v>
      </c>
      <c r="C10" s="29">
        <v>19302.2166666667</v>
      </c>
      <c r="D10" s="28">
        <v>10162.061655178501</v>
      </c>
      <c r="E10" s="30">
        <v>1437558</v>
      </c>
      <c r="F10" s="29">
        <v>1454446.8084284901</v>
      </c>
      <c r="G10" s="29">
        <v>1828371.52001471</v>
      </c>
      <c r="H10" s="31">
        <v>79.55</v>
      </c>
      <c r="I10" s="32">
        <v>5532.33223</v>
      </c>
      <c r="J10" s="33">
        <v>0</v>
      </c>
      <c r="K10" s="31">
        <v>5532.33223</v>
      </c>
      <c r="L10" s="32">
        <v>145444.68084284899</v>
      </c>
      <c r="M10" s="33">
        <v>7104.4165345436104</v>
      </c>
      <c r="N10" s="33">
        <v>0</v>
      </c>
      <c r="O10" s="31">
        <v>152549.09737739299</v>
      </c>
      <c r="P10" s="33">
        <v>203241.23310356899</v>
      </c>
      <c r="Q10" s="31">
        <v>75.06</v>
      </c>
    </row>
    <row r="11" spans="1:17" ht="23.1" customHeight="1" x14ac:dyDescent="0.25">
      <c r="A11" s="43" t="s">
        <v>25</v>
      </c>
      <c r="B11" s="64">
        <v>10677</v>
      </c>
      <c r="C11" s="64">
        <v>19833.833333333299</v>
      </c>
      <c r="D11" s="53">
        <v>10299.554</v>
      </c>
      <c r="E11" s="75">
        <v>1552028</v>
      </c>
      <c r="F11" s="64">
        <v>1519984.4709999999</v>
      </c>
      <c r="G11" s="64">
        <v>1862546.8289999999</v>
      </c>
      <c r="H11" s="84">
        <v>81.61</v>
      </c>
      <c r="I11" s="93">
        <v>6841.3922000000002</v>
      </c>
      <c r="J11" s="102">
        <v>0</v>
      </c>
      <c r="K11" s="84">
        <v>6841.3922000000002</v>
      </c>
      <c r="L11" s="93">
        <v>151998.44709999999</v>
      </c>
      <c r="M11" s="102">
        <v>8072.4364940799996</v>
      </c>
      <c r="N11" s="102">
        <v>0</v>
      </c>
      <c r="O11" s="84">
        <v>160070.88359407999</v>
      </c>
      <c r="P11" s="102">
        <v>205991.08</v>
      </c>
      <c r="Q11" s="84">
        <v>77.709999999999994</v>
      </c>
    </row>
    <row r="12" spans="1:17" ht="23.1" customHeight="1" x14ac:dyDescent="0.25">
      <c r="A12" s="45" t="s">
        <v>26</v>
      </c>
      <c r="B12" s="29">
        <v>10342</v>
      </c>
      <c r="C12" s="29">
        <v>19224</v>
      </c>
      <c r="D12" s="28">
        <v>9944</v>
      </c>
      <c r="E12" s="30">
        <v>1459007</v>
      </c>
      <c r="F12" s="29">
        <v>1425534</v>
      </c>
      <c r="G12" s="29">
        <v>1788183</v>
      </c>
      <c r="H12" s="31">
        <v>79.72</v>
      </c>
      <c r="I12" s="32">
        <v>6933.1938600000003</v>
      </c>
      <c r="J12" s="33">
        <v>0</v>
      </c>
      <c r="K12" s="31">
        <v>6933.1938600000003</v>
      </c>
      <c r="L12" s="32">
        <v>142553</v>
      </c>
      <c r="M12" s="33">
        <v>7711</v>
      </c>
      <c r="N12" s="33">
        <v>0</v>
      </c>
      <c r="O12" s="31">
        <v>150264</v>
      </c>
      <c r="P12" s="33">
        <v>198896</v>
      </c>
      <c r="Q12" s="31">
        <v>75.55</v>
      </c>
    </row>
    <row r="13" spans="1:17" ht="23.1" customHeight="1" x14ac:dyDescent="0.25">
      <c r="A13" s="43" t="s">
        <v>27</v>
      </c>
      <c r="B13" s="64">
        <v>10964</v>
      </c>
      <c r="C13" s="64">
        <v>20603</v>
      </c>
      <c r="D13" s="53">
        <v>10750.558901333699</v>
      </c>
      <c r="E13" s="75">
        <v>1547851</v>
      </c>
      <c r="F13" s="64">
        <v>1558409.9906410701</v>
      </c>
      <c r="G13" s="64">
        <v>1946678.6890268801</v>
      </c>
      <c r="H13" s="84">
        <v>80.05</v>
      </c>
      <c r="I13" s="93">
        <v>6777.1640500000003</v>
      </c>
      <c r="J13" s="102">
        <v>0</v>
      </c>
      <c r="K13" s="84">
        <v>6777.1640500000003</v>
      </c>
      <c r="L13" s="93">
        <v>155840.99906410699</v>
      </c>
      <c r="M13" s="102">
        <v>8097</v>
      </c>
      <c r="N13" s="102">
        <v>0</v>
      </c>
      <c r="O13" s="84">
        <v>163937.99906410699</v>
      </c>
      <c r="P13" s="102">
        <v>215011.178026676</v>
      </c>
      <c r="Q13" s="84">
        <v>76.25</v>
      </c>
    </row>
    <row r="14" spans="1:17" ht="23.1" customHeight="1" x14ac:dyDescent="0.25">
      <c r="A14" s="45" t="s">
        <v>28</v>
      </c>
      <c r="B14" s="29">
        <v>11291</v>
      </c>
      <c r="C14" s="29">
        <v>21526.616666666701</v>
      </c>
      <c r="D14" s="28">
        <v>11286.4879702773</v>
      </c>
      <c r="E14" s="30">
        <v>1717758</v>
      </c>
      <c r="F14" s="29">
        <v>1751973.04377032</v>
      </c>
      <c r="G14" s="29">
        <v>2054097.28401552</v>
      </c>
      <c r="H14" s="31">
        <v>85.29</v>
      </c>
      <c r="I14" s="32">
        <v>9240.5030000000006</v>
      </c>
      <c r="J14" s="33">
        <v>0</v>
      </c>
      <c r="K14" s="31">
        <v>9240.5030000000006</v>
      </c>
      <c r="L14" s="32">
        <v>175197.30437703201</v>
      </c>
      <c r="M14" s="33">
        <v>11095.911638</v>
      </c>
      <c r="N14" s="33">
        <v>0</v>
      </c>
      <c r="O14" s="31">
        <v>186293.216015032</v>
      </c>
      <c r="P14" s="33">
        <v>225729.75940554601</v>
      </c>
      <c r="Q14" s="31">
        <v>82.53</v>
      </c>
    </row>
    <row r="15" spans="1:17" ht="23.1" customHeight="1" x14ac:dyDescent="0.25">
      <c r="A15" s="121" t="s">
        <v>29</v>
      </c>
      <c r="B15" s="2">
        <v>11528</v>
      </c>
      <c r="C15" s="2">
        <v>21683.333333333299</v>
      </c>
      <c r="D15" s="13">
        <v>11309.8900737272</v>
      </c>
      <c r="E15" s="24">
        <v>1839572</v>
      </c>
      <c r="F15" s="2">
        <v>1836271.0228565901</v>
      </c>
      <c r="G15" s="2">
        <v>2065492.8702821401</v>
      </c>
      <c r="H15" s="35">
        <v>88.9</v>
      </c>
      <c r="I15" s="44">
        <v>7450.777</v>
      </c>
      <c r="J15" s="49">
        <v>0</v>
      </c>
      <c r="K15" s="35">
        <v>7450.777</v>
      </c>
      <c r="L15" s="44">
        <v>183627.102285659</v>
      </c>
      <c r="M15" s="49">
        <v>8573.6934079999992</v>
      </c>
      <c r="N15" s="49">
        <v>0</v>
      </c>
      <c r="O15" s="35">
        <v>192200.79569365899</v>
      </c>
      <c r="P15" s="102">
        <v>226197.80147454399</v>
      </c>
      <c r="Q15" s="84">
        <v>84.97</v>
      </c>
    </row>
    <row r="16" spans="1:17" ht="23.1" customHeight="1" x14ac:dyDescent="0.25">
      <c r="A16" s="34" t="s">
        <v>30</v>
      </c>
      <c r="B16" s="36">
        <f t="shared" ref="B16:G16" si="0">IFERROR(SUM(B4:B15),"")</f>
        <v>127862</v>
      </c>
      <c r="C16" s="36">
        <f t="shared" si="0"/>
        <v>241266.10000000009</v>
      </c>
      <c r="D16" s="36">
        <f t="shared" si="0"/>
        <v>127101.14141915385</v>
      </c>
      <c r="E16" s="36">
        <f t="shared" si="0"/>
        <v>18820084</v>
      </c>
      <c r="F16" s="36">
        <f t="shared" si="0"/>
        <v>19035876.703704387</v>
      </c>
      <c r="G16" s="36">
        <f t="shared" si="0"/>
        <v>22895873.384608064</v>
      </c>
      <c r="H16" s="37">
        <f>IFERROR(F16/G16*100,"")</f>
        <v>83.141081294157615</v>
      </c>
      <c r="I16" s="37">
        <f t="shared" ref="I16:P16" si="1">IFERROR(SUM(I4:I15),"")</f>
        <v>72490.591760041483</v>
      </c>
      <c r="J16" s="37">
        <f t="shared" si="1"/>
        <v>0</v>
      </c>
      <c r="K16" s="37">
        <f t="shared" si="1"/>
        <v>72490.591760041483</v>
      </c>
      <c r="L16" s="37">
        <f t="shared" si="1"/>
        <v>1903587.2703704389</v>
      </c>
      <c r="M16" s="37">
        <f t="shared" si="1"/>
        <v>86761.478278216178</v>
      </c>
      <c r="N16" s="37">
        <f t="shared" si="1"/>
        <v>0</v>
      </c>
      <c r="O16" s="37">
        <f t="shared" si="1"/>
        <v>1990348.7486486549</v>
      </c>
      <c r="P16" s="38">
        <f t="shared" si="1"/>
        <v>2542038.8283830779</v>
      </c>
      <c r="Q16" s="38">
        <f>IFERROR(O16/P16*100,"")</f>
        <v>78.297338593945156</v>
      </c>
    </row>
    <row r="17" spans="1:17" ht="20.100000000000001" customHeight="1" x14ac:dyDescent="0.25">
      <c r="A17" s="136" t="s">
        <v>31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32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33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43</v>
      </c>
      <c r="B20" s="147"/>
      <c r="C20" s="148" t="s">
        <v>34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42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38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39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>
        <v>4154</v>
      </c>
      <c r="C23" s="8">
        <v>12926.25</v>
      </c>
      <c r="D23" s="9">
        <v>11494.4611137108</v>
      </c>
      <c r="E23" s="7">
        <v>606427</v>
      </c>
      <c r="F23" s="8">
        <v>1679207.9999555501</v>
      </c>
      <c r="G23" s="8">
        <v>2103215.08247915</v>
      </c>
      <c r="H23" s="10">
        <v>79.84</v>
      </c>
      <c r="I23" s="11">
        <v>6454.7091940053897</v>
      </c>
      <c r="J23" s="11">
        <v>0</v>
      </c>
      <c r="K23" s="11">
        <v>6454.7091940053897</v>
      </c>
      <c r="L23" s="12">
        <v>129179.985697576</v>
      </c>
      <c r="M23" s="11">
        <v>8251.2799664604809</v>
      </c>
      <c r="N23" s="11">
        <v>0</v>
      </c>
      <c r="O23" s="14">
        <v>137431.26566403601</v>
      </c>
      <c r="P23" s="12">
        <v>229889.22227421499</v>
      </c>
      <c r="Q23" s="14">
        <v>59.78</v>
      </c>
    </row>
    <row r="24" spans="1:17" ht="23.1" customHeight="1" x14ac:dyDescent="0.25">
      <c r="A24" s="51" t="s">
        <v>20</v>
      </c>
      <c r="B24" s="51">
        <v>3534</v>
      </c>
      <c r="C24" s="50">
        <v>11591.166666666701</v>
      </c>
      <c r="D24" s="52">
        <v>9783.2269381144306</v>
      </c>
      <c r="E24" s="51">
        <v>507390</v>
      </c>
      <c r="F24" s="50">
        <v>1397297.9941310701</v>
      </c>
      <c r="G24" s="50">
        <v>1796149.6645236399</v>
      </c>
      <c r="H24" s="54">
        <v>77.790000000000006</v>
      </c>
      <c r="I24" s="55">
        <v>4692.5644000000002</v>
      </c>
      <c r="J24" s="55">
        <v>0</v>
      </c>
      <c r="K24" s="55">
        <v>4692.5644000000002</v>
      </c>
      <c r="L24" s="56">
        <v>106005.31767328001</v>
      </c>
      <c r="M24" s="55">
        <v>7881.1354674677405</v>
      </c>
      <c r="N24" s="55">
        <v>0</v>
      </c>
      <c r="O24" s="54">
        <v>113886.45314074701</v>
      </c>
      <c r="P24" s="56">
        <v>195664.53876228799</v>
      </c>
      <c r="Q24" s="54">
        <v>58.2</v>
      </c>
    </row>
    <row r="25" spans="1:17" ht="23.1" customHeight="1" x14ac:dyDescent="0.25">
      <c r="A25" s="15" t="s">
        <v>21</v>
      </c>
      <c r="B25" s="15">
        <v>3928</v>
      </c>
      <c r="C25" s="6">
        <v>12695.5</v>
      </c>
      <c r="D25" s="16">
        <v>10822.180074598</v>
      </c>
      <c r="E25" s="15">
        <v>495965</v>
      </c>
      <c r="F25" s="6">
        <v>1364258.6734823899</v>
      </c>
      <c r="G25" s="6">
        <v>1987229.7961522799</v>
      </c>
      <c r="H25" s="10">
        <v>68.650000000000006</v>
      </c>
      <c r="I25" s="17">
        <v>4852.5209999999997</v>
      </c>
      <c r="J25" s="17">
        <v>0</v>
      </c>
      <c r="K25" s="17">
        <v>4852.5209999999997</v>
      </c>
      <c r="L25" s="18">
        <v>101981.31782169999</v>
      </c>
      <c r="M25" s="17">
        <v>8013.1620262633796</v>
      </c>
      <c r="N25" s="17">
        <v>0</v>
      </c>
      <c r="O25" s="10">
        <v>109994.479847963</v>
      </c>
      <c r="P25" s="18">
        <v>216443.60149195901</v>
      </c>
      <c r="Q25" s="10">
        <v>50.82</v>
      </c>
    </row>
    <row r="26" spans="1:17" ht="23.1" customHeight="1" x14ac:dyDescent="0.25">
      <c r="A26" s="51" t="s">
        <v>22</v>
      </c>
      <c r="B26" s="51">
        <v>4047</v>
      </c>
      <c r="C26" s="50">
        <v>13843.583333333299</v>
      </c>
      <c r="D26" s="52">
        <v>11173.512138623801</v>
      </c>
      <c r="E26" s="51">
        <v>591128</v>
      </c>
      <c r="F26" s="50">
        <v>1632477.7327016599</v>
      </c>
      <c r="G26" s="50">
        <v>2060540.7753103599</v>
      </c>
      <c r="H26" s="54">
        <v>79.23</v>
      </c>
      <c r="I26" s="55">
        <v>1794.0671</v>
      </c>
      <c r="J26" s="55">
        <v>0</v>
      </c>
      <c r="K26" s="55">
        <v>1794.0671</v>
      </c>
      <c r="L26" s="56">
        <v>123490.325703796</v>
      </c>
      <c r="M26" s="55">
        <v>5052.7967109174997</v>
      </c>
      <c r="N26" s="55">
        <v>0</v>
      </c>
      <c r="O26" s="54">
        <v>128543.122414714</v>
      </c>
      <c r="P26" s="56">
        <v>223470.24277247599</v>
      </c>
      <c r="Q26" s="54">
        <v>57.52</v>
      </c>
    </row>
    <row r="27" spans="1:17" ht="30" customHeight="1" x14ac:dyDescent="0.25">
      <c r="A27" s="15" t="s">
        <v>23</v>
      </c>
      <c r="B27" s="15">
        <v>4090</v>
      </c>
      <c r="C27" s="6">
        <v>16997.666666666599</v>
      </c>
      <c r="D27" s="16">
        <v>11145.555453593201</v>
      </c>
      <c r="E27" s="15">
        <v>579399</v>
      </c>
      <c r="F27" s="6">
        <v>1581497.14863737</v>
      </c>
      <c r="G27" s="6">
        <v>2050289.85462702</v>
      </c>
      <c r="H27" s="10">
        <v>77.14</v>
      </c>
      <c r="I27" s="17">
        <v>6159.8790999999901</v>
      </c>
      <c r="J27" s="17">
        <v>0</v>
      </c>
      <c r="K27" s="17">
        <v>6159.8790999999901</v>
      </c>
      <c r="L27" s="18">
        <v>117928.920546283</v>
      </c>
      <c r="M27" s="17">
        <v>9076.9367276758094</v>
      </c>
      <c r="N27" s="17">
        <v>0</v>
      </c>
      <c r="O27" s="10">
        <v>127005.857273959</v>
      </c>
      <c r="P27" s="18">
        <v>222911.10907186501</v>
      </c>
      <c r="Q27" s="10">
        <v>56.98</v>
      </c>
    </row>
    <row r="28" spans="1:17" ht="23.1" customHeight="1" x14ac:dyDescent="0.25">
      <c r="A28" s="51" t="s">
        <v>40</v>
      </c>
      <c r="B28" s="51">
        <v>3728</v>
      </c>
      <c r="C28" s="50">
        <v>15293.416666666701</v>
      </c>
      <c r="D28" s="52">
        <v>10150.771502871599</v>
      </c>
      <c r="E28" s="51">
        <v>516061</v>
      </c>
      <c r="F28" s="50">
        <v>1408458.89085428</v>
      </c>
      <c r="G28" s="50">
        <v>1868609.70975465</v>
      </c>
      <c r="H28" s="54">
        <v>75.37</v>
      </c>
      <c r="I28" s="55">
        <v>4702.9228000000003</v>
      </c>
      <c r="J28" s="55">
        <v>0</v>
      </c>
      <c r="K28" s="55">
        <v>4702.9228000000003</v>
      </c>
      <c r="L28" s="56">
        <v>105902.116707133</v>
      </c>
      <c r="M28" s="55">
        <v>7438.02442476125</v>
      </c>
      <c r="N28" s="55">
        <v>0</v>
      </c>
      <c r="O28" s="54">
        <v>113340.141131895</v>
      </c>
      <c r="P28" s="56">
        <v>203015.430057433</v>
      </c>
      <c r="Q28" s="54">
        <v>55.83</v>
      </c>
    </row>
    <row r="29" spans="1:17" ht="23.1" customHeight="1" x14ac:dyDescent="0.25">
      <c r="A29" s="15" t="s">
        <v>41</v>
      </c>
      <c r="B29" s="15">
        <v>4009</v>
      </c>
      <c r="C29" s="6">
        <v>16754.166666666701</v>
      </c>
      <c r="D29" s="16">
        <v>11114.4620153101</v>
      </c>
      <c r="E29" s="15">
        <v>577116</v>
      </c>
      <c r="F29" s="6">
        <v>1604687.4025548501</v>
      </c>
      <c r="G29" s="6">
        <v>2042342.5121782001</v>
      </c>
      <c r="H29" s="10">
        <v>78.569999999999993</v>
      </c>
      <c r="I29" s="17">
        <v>5899.1962000000003</v>
      </c>
      <c r="J29" s="17">
        <v>0</v>
      </c>
      <c r="K29" s="17">
        <v>5899.1962000000003</v>
      </c>
      <c r="L29" s="18">
        <v>122081.061265251</v>
      </c>
      <c r="M29" s="17">
        <v>7925.37283304623</v>
      </c>
      <c r="N29" s="17">
        <v>0</v>
      </c>
      <c r="O29" s="10">
        <v>130006.434098297</v>
      </c>
      <c r="P29" s="18">
        <v>222289.24030620299</v>
      </c>
      <c r="Q29" s="10">
        <v>58.49</v>
      </c>
    </row>
    <row r="30" spans="1:17" ht="23.1" customHeight="1" x14ac:dyDescent="0.25">
      <c r="A30" s="51" t="s">
        <v>25</v>
      </c>
      <c r="B30" s="51">
        <v>4058</v>
      </c>
      <c r="C30" s="50">
        <v>16938.583333333299</v>
      </c>
      <c r="D30" s="52">
        <v>11232.403683517001</v>
      </c>
      <c r="E30" s="51">
        <v>599274</v>
      </c>
      <c r="F30" s="50">
        <v>1660919.5066106799</v>
      </c>
      <c r="G30" s="50">
        <v>2061507.0797625801</v>
      </c>
      <c r="H30" s="54">
        <v>80.569999999999993</v>
      </c>
      <c r="I30" s="55">
        <v>6488.9626000000098</v>
      </c>
      <c r="J30" s="55">
        <v>0</v>
      </c>
      <c r="K30" s="55">
        <v>6488.9626000000098</v>
      </c>
      <c r="L30" s="56">
        <v>125312.61569861299</v>
      </c>
      <c r="M30" s="55">
        <v>8991.24150116696</v>
      </c>
      <c r="N30" s="55">
        <v>0</v>
      </c>
      <c r="O30" s="54">
        <v>134303.85719978</v>
      </c>
      <c r="P30" s="56">
        <v>224648.07367034099</v>
      </c>
      <c r="Q30" s="54">
        <v>59.78</v>
      </c>
    </row>
    <row r="31" spans="1:17" ht="23.1" customHeight="1" x14ac:dyDescent="0.25">
      <c r="A31" s="15" t="s">
        <v>26</v>
      </c>
      <c r="B31" s="15">
        <v>3799</v>
      </c>
      <c r="C31" s="6">
        <v>15835.5</v>
      </c>
      <c r="D31" s="16">
        <v>10492.622322879801</v>
      </c>
      <c r="E31" s="15">
        <v>545537</v>
      </c>
      <c r="F31" s="6">
        <v>1500603.5569539899</v>
      </c>
      <c r="G31" s="6">
        <v>1931997.7501078399</v>
      </c>
      <c r="H31" s="10">
        <v>77.67</v>
      </c>
      <c r="I31" s="17">
        <v>5009.6837999999998</v>
      </c>
      <c r="J31" s="17">
        <v>0</v>
      </c>
      <c r="K31" s="17">
        <v>5009.6837999999998</v>
      </c>
      <c r="L31" s="18">
        <v>113243.693511976</v>
      </c>
      <c r="M31" s="17">
        <v>7972.4586507633703</v>
      </c>
      <c r="N31" s="17">
        <v>0</v>
      </c>
      <c r="O31" s="10">
        <v>121216.152162739</v>
      </c>
      <c r="P31" s="18">
        <v>209852.446457596</v>
      </c>
      <c r="Q31" s="10">
        <v>57.76</v>
      </c>
    </row>
    <row r="32" spans="1:17" ht="23.1" customHeight="1" x14ac:dyDescent="0.25">
      <c r="A32" s="51" t="s">
        <v>27</v>
      </c>
      <c r="B32" s="51">
        <v>3678</v>
      </c>
      <c r="C32" s="50">
        <v>15321.833333333299</v>
      </c>
      <c r="D32" s="52">
        <v>10001.346697430999</v>
      </c>
      <c r="E32" s="51">
        <v>556003</v>
      </c>
      <c r="F32" s="50">
        <v>1514923.1552839801</v>
      </c>
      <c r="G32" s="50">
        <v>1841653.71312741</v>
      </c>
      <c r="H32" s="54">
        <v>82.26</v>
      </c>
      <c r="I32" s="55">
        <v>6052.3424000000005</v>
      </c>
      <c r="J32" s="55">
        <v>0</v>
      </c>
      <c r="K32" s="55">
        <v>6052.3424000000005</v>
      </c>
      <c r="L32" s="56">
        <v>114394.269454914</v>
      </c>
      <c r="M32" s="55">
        <v>7744</v>
      </c>
      <c r="N32" s="55">
        <v>0</v>
      </c>
      <c r="O32" s="54">
        <v>122138.269454914</v>
      </c>
      <c r="P32" s="56">
        <v>200026.93394862101</v>
      </c>
      <c r="Q32" s="54">
        <v>61.06</v>
      </c>
    </row>
    <row r="33" spans="1:17" ht="23.1" customHeight="1" x14ac:dyDescent="0.25">
      <c r="A33" s="15" t="s">
        <v>28</v>
      </c>
      <c r="B33" s="15">
        <v>3311</v>
      </c>
      <c r="C33" s="6">
        <v>13802.25</v>
      </c>
      <c r="D33" s="16">
        <v>8969.3000744219207</v>
      </c>
      <c r="E33" s="15">
        <v>524386</v>
      </c>
      <c r="F33" s="6">
        <v>1421748.1262667801</v>
      </c>
      <c r="G33" s="6">
        <v>1649513.23454949</v>
      </c>
      <c r="H33" s="10">
        <v>86.19</v>
      </c>
      <c r="I33" s="17">
        <v>3618.9949999999999</v>
      </c>
      <c r="J33" s="17">
        <v>0</v>
      </c>
      <c r="K33" s="17">
        <v>3618.9949999999999</v>
      </c>
      <c r="L33" s="18">
        <v>108576.076944813</v>
      </c>
      <c r="M33" s="17">
        <v>6948.7486508235697</v>
      </c>
      <c r="N33" s="17">
        <v>0</v>
      </c>
      <c r="O33" s="10">
        <v>115524.825595637</v>
      </c>
      <c r="P33" s="18">
        <v>179386.00148843901</v>
      </c>
      <c r="Q33" s="10">
        <v>64.400000000000006</v>
      </c>
    </row>
    <row r="34" spans="1:17" ht="23.1" customHeight="1" x14ac:dyDescent="0.25">
      <c r="A34" s="51" t="s">
        <v>29</v>
      </c>
      <c r="B34" s="57">
        <v>3577</v>
      </c>
      <c r="C34" s="58">
        <v>14920.416666666701</v>
      </c>
      <c r="D34" s="59">
        <v>9692.8865655122809</v>
      </c>
      <c r="E34" s="57">
        <v>565594</v>
      </c>
      <c r="F34" s="58">
        <v>1534005.23431957</v>
      </c>
      <c r="G34" s="58">
        <v>1780269.53029229</v>
      </c>
      <c r="H34" s="54">
        <v>86.17</v>
      </c>
      <c r="I34" s="60">
        <v>2255.337</v>
      </c>
      <c r="J34" s="60">
        <v>0</v>
      </c>
      <c r="K34" s="60">
        <v>2255.337</v>
      </c>
      <c r="L34" s="61">
        <v>115728.88196265</v>
      </c>
      <c r="M34" s="60">
        <v>6169.3850025182001</v>
      </c>
      <c r="N34" s="60">
        <v>0</v>
      </c>
      <c r="O34" s="62">
        <v>121898.266965168</v>
      </c>
      <c r="P34" s="61">
        <v>193857.731310245</v>
      </c>
      <c r="Q34" s="62">
        <v>62.88</v>
      </c>
    </row>
    <row r="35" spans="1:17" ht="23.1" customHeight="1" x14ac:dyDescent="0.25">
      <c r="A35" s="126" t="s">
        <v>30</v>
      </c>
      <c r="B35" s="3">
        <f t="shared" ref="B35:G35" si="2">IFERROR(SUM(B23:B34),"")</f>
        <v>45913</v>
      </c>
      <c r="C35" s="3">
        <f t="shared" si="2"/>
        <v>176920.33333333331</v>
      </c>
      <c r="D35" s="3">
        <f t="shared" si="2"/>
        <v>126072.72858058393</v>
      </c>
      <c r="E35" s="3">
        <f t="shared" si="2"/>
        <v>6664280</v>
      </c>
      <c r="F35" s="3">
        <f t="shared" si="2"/>
        <v>18300085.42175217</v>
      </c>
      <c r="G35" s="3">
        <f t="shared" si="2"/>
        <v>23173318.702864908</v>
      </c>
      <c r="H35" s="4">
        <f>IFERROR(F35/G35*100,"")</f>
        <v>78.970499031240351</v>
      </c>
      <c r="I35" s="5">
        <f t="shared" ref="I35:P35" si="3">IFERROR(SUM(I23:I34),"")</f>
        <v>57981.180594005389</v>
      </c>
      <c r="J35" s="5">
        <f t="shared" si="3"/>
        <v>0</v>
      </c>
      <c r="K35" s="5">
        <f t="shared" si="3"/>
        <v>57981.180594005389</v>
      </c>
      <c r="L35" s="5">
        <f t="shared" si="3"/>
        <v>1383824.5829879849</v>
      </c>
      <c r="M35" s="5">
        <f t="shared" si="3"/>
        <v>91464.541961864496</v>
      </c>
      <c r="N35" s="5">
        <f t="shared" si="3"/>
        <v>0</v>
      </c>
      <c r="O35" s="5">
        <f t="shared" si="3"/>
        <v>1475289.1249498492</v>
      </c>
      <c r="P35" s="5">
        <f t="shared" si="3"/>
        <v>2521454.571611681</v>
      </c>
      <c r="Q35" s="5">
        <f>IFERROR(O35/P35*100,"")</f>
        <v>58.509446950173029</v>
      </c>
    </row>
    <row r="36" spans="1:17" ht="15.75" x14ac:dyDescent="0.25">
      <c r="A36" s="136" t="s">
        <v>31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32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33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43</v>
      </c>
      <c r="B39" s="139"/>
      <c r="C39" s="140" t="s">
        <v>35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42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38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39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>
        <v>115</v>
      </c>
      <c r="C42" s="104">
        <v>148.98333333333301</v>
      </c>
      <c r="D42" s="105">
        <v>71.117000000000004</v>
      </c>
      <c r="E42" s="103">
        <v>18162</v>
      </c>
      <c r="F42" s="104">
        <v>11417.763999999999</v>
      </c>
      <c r="G42" s="104">
        <v>13023.096</v>
      </c>
      <c r="H42" s="106">
        <v>87.67</v>
      </c>
      <c r="I42" s="107">
        <v>0</v>
      </c>
      <c r="J42" s="108">
        <v>0</v>
      </c>
      <c r="K42" s="106">
        <v>0</v>
      </c>
      <c r="L42" s="107">
        <v>856.33230000000003</v>
      </c>
      <c r="M42" s="108">
        <v>0</v>
      </c>
      <c r="N42" s="108">
        <v>0</v>
      </c>
      <c r="O42" s="106">
        <v>856.33230000000003</v>
      </c>
      <c r="P42" s="107">
        <v>1422.34</v>
      </c>
      <c r="Q42" s="106">
        <v>60.21</v>
      </c>
    </row>
    <row r="43" spans="1:17" ht="25.5" customHeight="1" x14ac:dyDescent="0.25">
      <c r="A43" s="47" t="s">
        <v>20</v>
      </c>
      <c r="B43" s="63">
        <v>105</v>
      </c>
      <c r="C43" s="65">
        <v>140.316666666667</v>
      </c>
      <c r="D43" s="66">
        <v>65.772999999999996</v>
      </c>
      <c r="E43" s="63">
        <v>17539</v>
      </c>
      <c r="F43" s="65">
        <v>11013.540999999999</v>
      </c>
      <c r="G43" s="65">
        <v>11952.425999999999</v>
      </c>
      <c r="H43" s="67">
        <v>92.14</v>
      </c>
      <c r="I43" s="68">
        <v>0</v>
      </c>
      <c r="J43" s="69">
        <v>0</v>
      </c>
      <c r="K43" s="67">
        <v>0</v>
      </c>
      <c r="L43" s="68">
        <v>826.01557500000001</v>
      </c>
      <c r="M43" s="69">
        <v>0</v>
      </c>
      <c r="N43" s="69">
        <v>0</v>
      </c>
      <c r="O43" s="67">
        <v>826.01557500000001</v>
      </c>
      <c r="P43" s="68">
        <v>1315.46</v>
      </c>
      <c r="Q43" s="67">
        <v>62.79</v>
      </c>
    </row>
    <row r="44" spans="1:17" ht="25.5" customHeight="1" x14ac:dyDescent="0.25">
      <c r="A44" s="46" t="s">
        <v>21</v>
      </c>
      <c r="B44" s="109">
        <v>118</v>
      </c>
      <c r="C44" s="110">
        <v>154.48333333333301</v>
      </c>
      <c r="D44" s="111">
        <v>53.843000000000004</v>
      </c>
      <c r="E44" s="109">
        <v>19735</v>
      </c>
      <c r="F44" s="110">
        <v>12339.161</v>
      </c>
      <c r="G44" s="110">
        <v>13396.206</v>
      </c>
      <c r="H44" s="112">
        <v>92.11</v>
      </c>
      <c r="I44" s="113">
        <v>0</v>
      </c>
      <c r="J44" s="114">
        <v>0</v>
      </c>
      <c r="K44" s="112">
        <v>0</v>
      </c>
      <c r="L44" s="113">
        <v>925.43707500000005</v>
      </c>
      <c r="M44" s="114">
        <v>0</v>
      </c>
      <c r="N44" s="114">
        <v>0</v>
      </c>
      <c r="O44" s="112">
        <v>925.43707500000005</v>
      </c>
      <c r="P44" s="113">
        <v>1474.28</v>
      </c>
      <c r="Q44" s="112">
        <v>62.77</v>
      </c>
    </row>
    <row r="45" spans="1:17" ht="25.5" customHeight="1" x14ac:dyDescent="0.25">
      <c r="A45" s="47" t="s">
        <v>22</v>
      </c>
      <c r="B45" s="63">
        <v>112</v>
      </c>
      <c r="C45" s="70">
        <v>149.166666666667</v>
      </c>
      <c r="D45" s="66">
        <v>69.816000000000003</v>
      </c>
      <c r="E45" s="63">
        <v>19228</v>
      </c>
      <c r="F45" s="65">
        <v>11995.384</v>
      </c>
      <c r="G45" s="65">
        <v>12682.26</v>
      </c>
      <c r="H45" s="67">
        <v>94.58</v>
      </c>
      <c r="I45" s="68">
        <v>0</v>
      </c>
      <c r="J45" s="69">
        <v>0</v>
      </c>
      <c r="K45" s="67">
        <v>0</v>
      </c>
      <c r="L45" s="68">
        <v>899.65380000000005</v>
      </c>
      <c r="M45" s="69">
        <v>0</v>
      </c>
      <c r="N45" s="69">
        <v>0</v>
      </c>
      <c r="O45" s="67">
        <v>899.65380000000005</v>
      </c>
      <c r="P45" s="68">
        <v>1396.32</v>
      </c>
      <c r="Q45" s="67">
        <v>64.430000000000007</v>
      </c>
    </row>
    <row r="46" spans="1:17" ht="25.5" customHeight="1" x14ac:dyDescent="0.25">
      <c r="A46" s="46" t="s">
        <v>23</v>
      </c>
      <c r="B46" s="109">
        <v>112</v>
      </c>
      <c r="C46" s="115">
        <v>149.166666666667</v>
      </c>
      <c r="D46" s="111">
        <v>69.816000000000003</v>
      </c>
      <c r="E46" s="109">
        <v>16389</v>
      </c>
      <c r="F46" s="110">
        <v>10195.839</v>
      </c>
      <c r="G46" s="110">
        <v>12682.26</v>
      </c>
      <c r="H46" s="112">
        <v>80.39</v>
      </c>
      <c r="I46" s="113">
        <v>0</v>
      </c>
      <c r="J46" s="114">
        <v>0</v>
      </c>
      <c r="K46" s="112">
        <v>0</v>
      </c>
      <c r="L46" s="113">
        <v>764.68792499999995</v>
      </c>
      <c r="M46" s="114">
        <v>0</v>
      </c>
      <c r="N46" s="114">
        <v>0</v>
      </c>
      <c r="O46" s="112">
        <v>764.68792499999995</v>
      </c>
      <c r="P46" s="113">
        <v>1396.32</v>
      </c>
      <c r="Q46" s="112">
        <v>54.76</v>
      </c>
    </row>
    <row r="47" spans="1:17" ht="25.5" customHeight="1" x14ac:dyDescent="0.25">
      <c r="A47" s="47" t="s">
        <v>40</v>
      </c>
      <c r="B47" s="71">
        <v>116</v>
      </c>
      <c r="C47" s="72">
        <v>156.25</v>
      </c>
      <c r="D47" s="66">
        <v>74</v>
      </c>
      <c r="E47" s="71">
        <v>17597</v>
      </c>
      <c r="F47" s="72">
        <v>10985.669</v>
      </c>
      <c r="G47" s="72">
        <v>13473.191999999999</v>
      </c>
      <c r="H47" s="67">
        <v>81.540000000000006</v>
      </c>
      <c r="I47" s="73">
        <v>0</v>
      </c>
      <c r="J47" s="74">
        <v>0</v>
      </c>
      <c r="K47" s="67">
        <v>0</v>
      </c>
      <c r="L47" s="73">
        <v>823.92517499999997</v>
      </c>
      <c r="M47" s="74">
        <v>0</v>
      </c>
      <c r="N47" s="74">
        <v>0</v>
      </c>
      <c r="O47" s="67">
        <v>823.92517499999997</v>
      </c>
      <c r="P47" s="73">
        <v>1472.48</v>
      </c>
      <c r="Q47" s="67">
        <v>55.95</v>
      </c>
    </row>
    <row r="48" spans="1:17" ht="25.5" customHeight="1" x14ac:dyDescent="0.25">
      <c r="A48" s="46" t="s">
        <v>41</v>
      </c>
      <c r="B48" s="116">
        <v>117</v>
      </c>
      <c r="C48" s="117">
        <v>158.23333333333301</v>
      </c>
      <c r="D48" s="118">
        <v>74.64</v>
      </c>
      <c r="E48" s="116">
        <v>19056</v>
      </c>
      <c r="F48" s="117">
        <v>12116.672</v>
      </c>
      <c r="G48" s="117">
        <v>13774.284</v>
      </c>
      <c r="H48" s="112">
        <v>87.97</v>
      </c>
      <c r="I48" s="119">
        <v>0</v>
      </c>
      <c r="J48" s="120">
        <v>0</v>
      </c>
      <c r="K48" s="112">
        <v>0</v>
      </c>
      <c r="L48" s="119">
        <v>908.75040000000001</v>
      </c>
      <c r="M48" s="120">
        <v>0</v>
      </c>
      <c r="N48" s="120">
        <v>0</v>
      </c>
      <c r="O48" s="112">
        <v>908.75040000000001</v>
      </c>
      <c r="P48" s="119">
        <v>1492.8</v>
      </c>
      <c r="Q48" s="112">
        <v>60.88</v>
      </c>
    </row>
    <row r="49" spans="1:17" ht="25.5" customHeight="1" x14ac:dyDescent="0.25">
      <c r="A49" s="47" t="s">
        <v>25</v>
      </c>
      <c r="B49" s="71">
        <v>119</v>
      </c>
      <c r="C49" s="72">
        <v>159.65</v>
      </c>
      <c r="D49" s="76">
        <v>74.16</v>
      </c>
      <c r="E49" s="71">
        <v>18150</v>
      </c>
      <c r="F49" s="72">
        <v>11357.86</v>
      </c>
      <c r="G49" s="72">
        <v>14016.24</v>
      </c>
      <c r="H49" s="67">
        <v>81.03</v>
      </c>
      <c r="I49" s="73">
        <v>0</v>
      </c>
      <c r="J49" s="74">
        <v>0</v>
      </c>
      <c r="K49" s="67">
        <v>0</v>
      </c>
      <c r="L49" s="73">
        <v>1135.7860000000001</v>
      </c>
      <c r="M49" s="74">
        <v>0</v>
      </c>
      <c r="N49" s="74">
        <v>0</v>
      </c>
      <c r="O49" s="67">
        <v>1135.7860000000001</v>
      </c>
      <c r="P49" s="73">
        <v>1483.2</v>
      </c>
      <c r="Q49" s="67">
        <v>76.58</v>
      </c>
    </row>
    <row r="50" spans="1:17" ht="25.5" customHeight="1" x14ac:dyDescent="0.25">
      <c r="A50" s="46" t="s">
        <v>26</v>
      </c>
      <c r="B50" s="116">
        <v>117</v>
      </c>
      <c r="C50" s="117">
        <v>153</v>
      </c>
      <c r="D50" s="118">
        <v>75</v>
      </c>
      <c r="E50" s="116">
        <v>19107</v>
      </c>
      <c r="F50" s="117">
        <v>12192</v>
      </c>
      <c r="G50" s="117">
        <v>14204</v>
      </c>
      <c r="H50" s="112">
        <v>85.83</v>
      </c>
      <c r="I50" s="119">
        <v>0</v>
      </c>
      <c r="J50" s="120">
        <v>0</v>
      </c>
      <c r="K50" s="112">
        <v>0</v>
      </c>
      <c r="L50" s="119">
        <v>1219</v>
      </c>
      <c r="M50" s="120">
        <v>0</v>
      </c>
      <c r="N50" s="120">
        <v>0</v>
      </c>
      <c r="O50" s="112">
        <v>1219</v>
      </c>
      <c r="P50" s="119">
        <v>1503</v>
      </c>
      <c r="Q50" s="112">
        <v>81.099999999999994</v>
      </c>
    </row>
    <row r="51" spans="1:17" ht="25.5" customHeight="1" x14ac:dyDescent="0.25">
      <c r="A51" s="47" t="s">
        <v>27</v>
      </c>
      <c r="B51" s="71">
        <v>114</v>
      </c>
      <c r="C51" s="72">
        <v>151.9</v>
      </c>
      <c r="D51" s="76">
        <v>71.097999999999999</v>
      </c>
      <c r="E51" s="71">
        <v>18120</v>
      </c>
      <c r="F51" s="72">
        <v>11308.412</v>
      </c>
      <c r="G51" s="72">
        <v>12916.866</v>
      </c>
      <c r="H51" s="67">
        <v>87.55</v>
      </c>
      <c r="I51" s="73">
        <v>0</v>
      </c>
      <c r="J51" s="74">
        <v>0</v>
      </c>
      <c r="K51" s="67">
        <v>0</v>
      </c>
      <c r="L51" s="73">
        <v>848.1309</v>
      </c>
      <c r="M51" s="74">
        <v>0</v>
      </c>
      <c r="N51" s="74">
        <v>0</v>
      </c>
      <c r="O51" s="67">
        <v>848.1309</v>
      </c>
      <c r="P51" s="73">
        <v>1421.96</v>
      </c>
      <c r="Q51" s="67">
        <v>59.65</v>
      </c>
    </row>
    <row r="52" spans="1:17" ht="25.5" customHeight="1" x14ac:dyDescent="0.25">
      <c r="A52" s="46" t="s">
        <v>28</v>
      </c>
      <c r="B52" s="116">
        <v>96</v>
      </c>
      <c r="C52" s="117">
        <v>108.566666666667</v>
      </c>
      <c r="D52" s="118">
        <v>50.677999999999997</v>
      </c>
      <c r="E52" s="116">
        <v>15365</v>
      </c>
      <c r="F52" s="117">
        <v>8290.4760000000006</v>
      </c>
      <c r="G52" s="117">
        <v>9578.1419999999998</v>
      </c>
      <c r="H52" s="112">
        <v>86.56</v>
      </c>
      <c r="I52" s="119">
        <v>0</v>
      </c>
      <c r="J52" s="120">
        <v>0</v>
      </c>
      <c r="K52" s="112">
        <v>0</v>
      </c>
      <c r="L52" s="119">
        <v>621.78570000000002</v>
      </c>
      <c r="M52" s="120">
        <v>0</v>
      </c>
      <c r="N52" s="120">
        <v>0</v>
      </c>
      <c r="O52" s="112">
        <v>621.78570000000002</v>
      </c>
      <c r="P52" s="119">
        <v>1013.56</v>
      </c>
      <c r="Q52" s="112">
        <v>61.35</v>
      </c>
    </row>
    <row r="53" spans="1:17" ht="25.5" customHeight="1" x14ac:dyDescent="0.25">
      <c r="A53" s="47" t="s">
        <v>29</v>
      </c>
      <c r="B53" s="77">
        <v>36</v>
      </c>
      <c r="C53" s="78">
        <v>34.75</v>
      </c>
      <c r="D53" s="79">
        <v>15.449</v>
      </c>
      <c r="E53" s="77">
        <v>5787</v>
      </c>
      <c r="F53" s="78">
        <v>2306.7719999999999</v>
      </c>
      <c r="G53" s="78">
        <v>2918.7750000000001</v>
      </c>
      <c r="H53" s="80">
        <v>79.03</v>
      </c>
      <c r="I53" s="81">
        <v>0</v>
      </c>
      <c r="J53" s="82">
        <v>0</v>
      </c>
      <c r="K53" s="80">
        <v>0</v>
      </c>
      <c r="L53" s="81">
        <v>173.00790000000001</v>
      </c>
      <c r="M53" s="82">
        <v>0</v>
      </c>
      <c r="N53" s="82">
        <v>0</v>
      </c>
      <c r="O53" s="80">
        <v>173.00790000000001</v>
      </c>
      <c r="P53" s="81">
        <v>308.98</v>
      </c>
      <c r="Q53" s="80">
        <v>55.99</v>
      </c>
    </row>
    <row r="54" spans="1:17" ht="25.5" customHeight="1" x14ac:dyDescent="0.25">
      <c r="A54" s="122" t="s">
        <v>30</v>
      </c>
      <c r="B54" s="123">
        <f t="shared" ref="B54:G54" si="4">IFERROR(SUM(B42:B53),"")</f>
        <v>1277</v>
      </c>
      <c r="C54" s="123">
        <f t="shared" si="4"/>
        <v>1664.4666666666672</v>
      </c>
      <c r="D54" s="123">
        <f t="shared" si="4"/>
        <v>765.38999999999987</v>
      </c>
      <c r="E54" s="123">
        <f t="shared" si="4"/>
        <v>204235</v>
      </c>
      <c r="F54" s="123">
        <f t="shared" si="4"/>
        <v>125519.54999999999</v>
      </c>
      <c r="G54" s="123">
        <f t="shared" si="4"/>
        <v>144617.747</v>
      </c>
      <c r="H54" s="124">
        <f>IFERROR(F54/G54*100,"")</f>
        <v>86.794015674991797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10002.512750000002</v>
      </c>
      <c r="M54" s="124">
        <f t="shared" si="5"/>
        <v>0</v>
      </c>
      <c r="N54" s="124">
        <f t="shared" si="5"/>
        <v>0</v>
      </c>
      <c r="O54" s="124">
        <f t="shared" si="5"/>
        <v>10002.512750000002</v>
      </c>
      <c r="P54" s="125">
        <f t="shared" si="5"/>
        <v>15700.699999999999</v>
      </c>
      <c r="Q54" s="124">
        <f>IFERROR(O54/P54*100,"")</f>
        <v>63.707431834249441</v>
      </c>
    </row>
    <row r="55" spans="1:17" ht="22.5" customHeight="1" x14ac:dyDescent="0.25">
      <c r="A55" s="136" t="s">
        <v>31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32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33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43</v>
      </c>
      <c r="B58" s="129"/>
      <c r="C58" s="130" t="s">
        <v>36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42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38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39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>
        <v>7</v>
      </c>
      <c r="C64" s="72">
        <v>22.1666666666667</v>
      </c>
      <c r="D64" s="76">
        <v>16.838000000000001</v>
      </c>
      <c r="E64" s="71">
        <v>1093</v>
      </c>
      <c r="F64" s="72">
        <v>2550.0259999999998</v>
      </c>
      <c r="G64" s="72">
        <v>3182.3820000000001</v>
      </c>
      <c r="H64" s="67">
        <v>80.13</v>
      </c>
      <c r="I64" s="73">
        <v>0</v>
      </c>
      <c r="J64" s="74">
        <v>0</v>
      </c>
      <c r="K64" s="74">
        <v>0</v>
      </c>
      <c r="L64" s="73">
        <v>191.25194999999999</v>
      </c>
      <c r="M64" s="74">
        <v>0</v>
      </c>
      <c r="N64" s="74">
        <v>0</v>
      </c>
      <c r="O64" s="67">
        <v>191.25194999999999</v>
      </c>
      <c r="P64" s="74">
        <v>336.76</v>
      </c>
      <c r="Q64" s="67">
        <v>56.79</v>
      </c>
    </row>
    <row r="65" spans="1:17" ht="24.75" customHeight="1" x14ac:dyDescent="0.25">
      <c r="A65" s="48" t="s">
        <v>23</v>
      </c>
      <c r="B65" s="96">
        <v>78</v>
      </c>
      <c r="C65" s="97">
        <v>343.66666666666703</v>
      </c>
      <c r="D65" s="98">
        <v>297.23063371115899</v>
      </c>
      <c r="E65" s="96">
        <v>13138</v>
      </c>
      <c r="F65" s="97">
        <v>50117.8861091574</v>
      </c>
      <c r="G65" s="97">
        <v>56176.589771409097</v>
      </c>
      <c r="H65" s="99">
        <v>89.21</v>
      </c>
      <c r="I65" s="100">
        <v>0</v>
      </c>
      <c r="J65" s="101">
        <v>0</v>
      </c>
      <c r="K65" s="101">
        <v>0</v>
      </c>
      <c r="L65" s="100">
        <v>3758.8414581868101</v>
      </c>
      <c r="M65" s="101">
        <v>0</v>
      </c>
      <c r="N65" s="101">
        <v>0</v>
      </c>
      <c r="O65" s="99">
        <v>3758.8414581868101</v>
      </c>
      <c r="P65" s="101">
        <v>5944.61267422319</v>
      </c>
      <c r="Q65" s="99">
        <v>63.23</v>
      </c>
    </row>
    <row r="66" spans="1:17" ht="24.75" customHeight="1" x14ac:dyDescent="0.25">
      <c r="A66" s="47" t="s">
        <v>40</v>
      </c>
      <c r="B66" s="71">
        <v>51</v>
      </c>
      <c r="C66" s="72">
        <v>207.916666666667</v>
      </c>
      <c r="D66" s="76">
        <v>139.91356115136199</v>
      </c>
      <c r="E66" s="71">
        <v>8359</v>
      </c>
      <c r="F66" s="72">
        <v>22643.001873262801</v>
      </c>
      <c r="G66" s="72">
        <v>26443.663057607399</v>
      </c>
      <c r="H66" s="67">
        <v>85.63</v>
      </c>
      <c r="I66" s="73">
        <v>0</v>
      </c>
      <c r="J66" s="74">
        <v>0</v>
      </c>
      <c r="K66" s="74">
        <v>0</v>
      </c>
      <c r="L66" s="73">
        <v>1698.2251404947101</v>
      </c>
      <c r="M66" s="74">
        <v>0</v>
      </c>
      <c r="N66" s="74">
        <v>0</v>
      </c>
      <c r="O66" s="67">
        <v>1698.2251404947101</v>
      </c>
      <c r="P66" s="74">
        <v>2798.27122302723</v>
      </c>
      <c r="Q66" s="67">
        <v>60.69</v>
      </c>
    </row>
    <row r="67" spans="1:17" ht="24.75" customHeight="1" x14ac:dyDescent="0.25">
      <c r="A67" s="48" t="s">
        <v>41</v>
      </c>
      <c r="B67" s="96">
        <v>92</v>
      </c>
      <c r="C67" s="97">
        <v>277.83333333333297</v>
      </c>
      <c r="D67" s="98">
        <v>195.94316998677499</v>
      </c>
      <c r="E67" s="96">
        <v>15303</v>
      </c>
      <c r="F67" s="97">
        <v>32599.7971873278</v>
      </c>
      <c r="G67" s="97">
        <v>37033.259127500503</v>
      </c>
      <c r="H67" s="99">
        <v>88.03</v>
      </c>
      <c r="I67" s="100">
        <v>0</v>
      </c>
      <c r="J67" s="101">
        <v>0</v>
      </c>
      <c r="K67" s="101">
        <v>0</v>
      </c>
      <c r="L67" s="100">
        <v>2444.9847890495898</v>
      </c>
      <c r="M67" s="101">
        <v>0</v>
      </c>
      <c r="N67" s="101">
        <v>0</v>
      </c>
      <c r="O67" s="99">
        <v>2444.9847890495898</v>
      </c>
      <c r="P67" s="101">
        <v>3918.8633997355</v>
      </c>
      <c r="Q67" s="99">
        <v>62.39</v>
      </c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>
        <v>11</v>
      </c>
      <c r="C72" s="78">
        <v>35.8333333333333</v>
      </c>
      <c r="D72" s="79">
        <v>38.137</v>
      </c>
      <c r="E72" s="77">
        <v>1050</v>
      </c>
      <c r="F72" s="78">
        <v>3640.35</v>
      </c>
      <c r="G72" s="78">
        <v>7207.893</v>
      </c>
      <c r="H72" s="80">
        <v>50.51</v>
      </c>
      <c r="I72" s="81">
        <v>0</v>
      </c>
      <c r="J72" s="82">
        <v>0</v>
      </c>
      <c r="K72" s="82">
        <v>0</v>
      </c>
      <c r="L72" s="81">
        <v>273.02625</v>
      </c>
      <c r="M72" s="82">
        <v>0</v>
      </c>
      <c r="N72" s="82">
        <v>0</v>
      </c>
      <c r="O72" s="80">
        <v>273.02625</v>
      </c>
      <c r="P72" s="82">
        <v>762.74</v>
      </c>
      <c r="Q72" s="80">
        <v>35.799999999999997</v>
      </c>
    </row>
    <row r="73" spans="1:17" ht="34.5" customHeight="1" x14ac:dyDescent="0.25">
      <c r="A73" s="86" t="s">
        <v>30</v>
      </c>
      <c r="B73" s="87">
        <f t="shared" ref="B73:G73" si="6">IFERROR(SUM(B61:B72),"")</f>
        <v>239</v>
      </c>
      <c r="C73" s="87">
        <f t="shared" si="6"/>
        <v>887.41666666666697</v>
      </c>
      <c r="D73" s="87">
        <f t="shared" si="6"/>
        <v>688.06236484929605</v>
      </c>
      <c r="E73" s="87">
        <f t="shared" si="6"/>
        <v>38943</v>
      </c>
      <c r="F73" s="87">
        <f t="shared" si="6"/>
        <v>111551.06116974801</v>
      </c>
      <c r="G73" s="87">
        <f t="shared" si="6"/>
        <v>130043.78695651698</v>
      </c>
      <c r="H73" s="88">
        <f>IFERROR(F73/G73*100,"")</f>
        <v>85.779616066584992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8366.3295877311102</v>
      </c>
      <c r="M73" s="88">
        <f t="shared" si="7"/>
        <v>0</v>
      </c>
      <c r="N73" s="88">
        <f t="shared" si="7"/>
        <v>0</v>
      </c>
      <c r="O73" s="88">
        <f t="shared" si="7"/>
        <v>8366.3295877311102</v>
      </c>
      <c r="P73" s="88">
        <f t="shared" si="7"/>
        <v>13761.247296985921</v>
      </c>
      <c r="Q73" s="88">
        <f>IFERROR(O73/P73*100,"")</f>
        <v>60.796302887192198</v>
      </c>
    </row>
    <row r="74" spans="1:17" ht="15.75" x14ac:dyDescent="0.25">
      <c r="A74" s="136" t="s">
        <v>31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32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33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37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2026-02-26T12:28:04Z</dcterms:modified>
</cp:coreProperties>
</file>