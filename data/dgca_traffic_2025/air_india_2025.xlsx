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December 2025\Excel December 2025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<sst xmlns="http://schemas.openxmlformats.org/spreadsheetml/2006/main" count="157" uniqueCount="44">
  <si>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</si>
  <si>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</si>
  <si>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</si>
  <si>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</si>
  <si>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</si>
  <si>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</si>
  <si>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</si>
  <si>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</si>
  <si>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</si>
  <si>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</si>
  <si>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</si>
  <si>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</si>
  <si>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</si>
  <si>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</si>
  <si>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</si>
  <si>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</si>
  <si>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</si>
  <si>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</si>
  <si>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</si>
  <si>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</si>
  <si>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</si>
  <si>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</si>
  <si>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</si>
  <si>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</si>
  <si>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</si>
  <si>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</si>
  <si>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</si>
  <si>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</si>
  <si>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</si>
  <si>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</si>
  <si>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</si>
  <si>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SOURCE:-ICAO ATR FORM A FURNISHED BY AIR INDIA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</si>
  <si>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</si>
  <si>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</si>
  <si>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</si>
  <si>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</si>
  <si>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</si>
  <si>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</si>
  <si>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</si>
  <si>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</si>
  <si>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</si>
  <si>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</si>
  <si>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AIR INDIA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</si>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</sst>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45" transitionEvaluation="1" transitionEntry="1"/>
  <dimension ref="A1:Q494"/>
  <sheetViews>
    <sheetView showGridLines="0" tabSelected="1" view="pageBreakPreview" topLeftCell="A45" zoomScaleNormal="85" zoomScaleSheetLayoutView="100" workbookViewId="0">
      <selection activeCell="C51" sqref="C51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8554687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28" t="s">
        <v>43</v>
      </c>
      <c r="B1" s="129"/>
      <c r="C1" s="130" t="s">
        <v>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 t="s">
        <v>42</v>
      </c>
      <c r="P1" s="131"/>
      <c r="Q1" s="132"/>
    </row>
    <row r="2" spans="1:17" ht="49.5" customHeight="1" x14ac:dyDescent="0.25">
      <c r="A2" s="133" t="s">
        <v>1</v>
      </c>
      <c r="B2" s="135" t="s">
        <v>2</v>
      </c>
      <c r="C2" s="135"/>
      <c r="D2" s="135"/>
      <c r="E2" s="136" t="s">
        <v>3</v>
      </c>
      <c r="F2" s="136" t="s">
        <v>4</v>
      </c>
      <c r="G2" s="136" t="s">
        <v>5</v>
      </c>
      <c r="H2" s="136" t="s">
        <v>38</v>
      </c>
      <c r="I2" s="135" t="s">
        <v>6</v>
      </c>
      <c r="J2" s="135"/>
      <c r="K2" s="135"/>
      <c r="L2" s="135" t="s">
        <v>7</v>
      </c>
      <c r="M2" s="135"/>
      <c r="N2" s="135"/>
      <c r="O2" s="135"/>
      <c r="P2" s="136" t="s">
        <v>8</v>
      </c>
      <c r="Q2" s="136" t="s">
        <v>39</v>
      </c>
    </row>
    <row r="3" spans="1:17" ht="155.25" customHeight="1" x14ac:dyDescent="0.25">
      <c r="A3" s="134"/>
      <c r="B3" s="42" t="s">
        <v>9</v>
      </c>
      <c r="C3" s="42" t="s">
        <v>10</v>
      </c>
      <c r="D3" s="42" t="s">
        <v>11</v>
      </c>
      <c r="E3" s="136"/>
      <c r="F3" s="136"/>
      <c r="G3" s="136"/>
      <c r="H3" s="136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36"/>
      <c r="Q3" s="136"/>
    </row>
    <row r="4" spans="1:17" ht="23.1" customHeight="1" x14ac:dyDescent="0.25">
      <c r="A4" s="20" t="s">
        <v>19</v>
      </c>
      <c r="B4" s="21">
        <v>16899</v>
      </c>
      <c r="C4" s="21">
        <v>34638.101999999803</v>
      </c>
      <c r="D4" s="22">
        <v>17697.323</v>
      </c>
      <c r="E4" s="23">
        <v>2422796</v>
      </c>
      <c r="F4" s="21">
        <v>2542896.321</v>
      </c>
      <c r="G4" s="21">
        <v>3031554.5839999998</v>
      </c>
      <c r="H4" s="25">
        <v>83.88</v>
      </c>
      <c r="I4" s="26">
        <v>12069.041499999999</v>
      </c>
      <c r="J4" s="27">
        <v>799.14877999999806</v>
      </c>
      <c r="K4" s="25">
        <v>12868.190280000001</v>
      </c>
      <c r="L4" s="26">
        <v>231177.95483999999</v>
      </c>
      <c r="M4" s="27">
        <v>15339.8429024001</v>
      </c>
      <c r="N4" s="27">
        <v>807.24365057999796</v>
      </c>
      <c r="O4" s="25">
        <v>247325.04139298</v>
      </c>
      <c r="P4" s="27">
        <v>286389.17336999899</v>
      </c>
      <c r="Q4" s="25">
        <v>86.36</v>
      </c>
    </row>
    <row r="5" spans="1:17" ht="23.1" customHeight="1" x14ac:dyDescent="0.25">
      <c r="A5" s="43" t="s">
        <v>20</v>
      </c>
      <c r="B5" s="64">
        <v>16212</v>
      </c>
      <c r="C5" s="64">
        <v>33108.807000000001</v>
      </c>
      <c r="D5" s="53">
        <v>16805.955999999998</v>
      </c>
      <c r="E5" s="75">
        <v>2406210</v>
      </c>
      <c r="F5" s="64">
        <v>2519192.4500000002</v>
      </c>
      <c r="G5" s="64">
        <v>2879576.6359999999</v>
      </c>
      <c r="H5" s="84">
        <v>87.48</v>
      </c>
      <c r="I5" s="93">
        <v>11879.1867</v>
      </c>
      <c r="J5" s="102">
        <v>851.78229999999996</v>
      </c>
      <c r="K5" s="84">
        <v>12730.968999999999</v>
      </c>
      <c r="L5" s="93">
        <v>224790.07689999999</v>
      </c>
      <c r="M5" s="102">
        <v>15124.407160000001</v>
      </c>
      <c r="N5" s="102">
        <v>895.12786459999995</v>
      </c>
      <c r="O5" s="84">
        <v>240809.6119246</v>
      </c>
      <c r="P5" s="102">
        <v>268770.21669999999</v>
      </c>
      <c r="Q5" s="84">
        <v>89.6</v>
      </c>
    </row>
    <row r="6" spans="1:17" ht="23.1" customHeight="1" x14ac:dyDescent="0.25">
      <c r="A6" s="45" t="s">
        <v>21</v>
      </c>
      <c r="B6" s="29">
        <v>16855</v>
      </c>
      <c r="C6" s="29">
        <v>34314.239000000103</v>
      </c>
      <c r="D6" s="28">
        <v>17552.128000000001</v>
      </c>
      <c r="E6" s="30">
        <v>2303093</v>
      </c>
      <c r="F6" s="29">
        <v>2413939.142</v>
      </c>
      <c r="G6" s="29">
        <v>3002343.8969999999</v>
      </c>
      <c r="H6" s="31">
        <v>80.400000000000006</v>
      </c>
      <c r="I6" s="32">
        <v>13706.921</v>
      </c>
      <c r="J6" s="33">
        <v>777.50750000000096</v>
      </c>
      <c r="K6" s="31">
        <v>14484.4285</v>
      </c>
      <c r="L6" s="32">
        <v>214012.80233999901</v>
      </c>
      <c r="M6" s="33">
        <v>17335.492691499901</v>
      </c>
      <c r="N6" s="33">
        <v>756.74223103999998</v>
      </c>
      <c r="O6" s="31">
        <v>232105.037262539</v>
      </c>
      <c r="P6" s="33">
        <v>277373.87524999899</v>
      </c>
      <c r="Q6" s="31">
        <v>83.68</v>
      </c>
    </row>
    <row r="7" spans="1:17" ht="23.1" customHeight="1" x14ac:dyDescent="0.25">
      <c r="A7" s="43" t="s">
        <v>22</v>
      </c>
      <c r="B7" s="64">
        <v>15882</v>
      </c>
      <c r="C7" s="64">
        <v>33038.442000000003</v>
      </c>
      <c r="D7" s="53">
        <v>16573.981</v>
      </c>
      <c r="E7" s="75">
        <v>2180617</v>
      </c>
      <c r="F7" s="64">
        <v>2301209.6570000001</v>
      </c>
      <c r="G7" s="64">
        <v>2798619.4819999998</v>
      </c>
      <c r="H7" s="84">
        <v>82.23</v>
      </c>
      <c r="I7" s="93">
        <v>12644.7534</v>
      </c>
      <c r="J7" s="102">
        <v>735.33090000000004</v>
      </c>
      <c r="K7" s="84">
        <v>13380.0843</v>
      </c>
      <c r="L7" s="93">
        <v>205463.938790001</v>
      </c>
      <c r="M7" s="102">
        <v>16009.628416199999</v>
      </c>
      <c r="N7" s="102">
        <v>721.484531379999</v>
      </c>
      <c r="O7" s="84">
        <v>222195.051737581</v>
      </c>
      <c r="P7" s="102">
        <v>261443.10322000101</v>
      </c>
      <c r="Q7" s="84">
        <v>84.99</v>
      </c>
    </row>
    <row r="8" spans="1:17" ht="30" customHeight="1" x14ac:dyDescent="0.25">
      <c r="A8" s="45" t="s">
        <v>23</v>
      </c>
      <c r="B8" s="29">
        <v>16010</v>
      </c>
      <c r="C8" s="29">
        <v>33438.738000000099</v>
      </c>
      <c r="D8" s="28">
        <v>16983.348000000002</v>
      </c>
      <c r="E8" s="30">
        <v>2093391</v>
      </c>
      <c r="F8" s="29">
        <v>2250087.3870000001</v>
      </c>
      <c r="G8" s="29">
        <v>2871854.9840000002</v>
      </c>
      <c r="H8" s="31">
        <v>78.349999999999994</v>
      </c>
      <c r="I8" s="32">
        <v>15081.057932399999</v>
      </c>
      <c r="J8" s="33">
        <v>810.13604999999995</v>
      </c>
      <c r="K8" s="31">
        <v>15891.1939824</v>
      </c>
      <c r="L8" s="32">
        <v>202039.97016</v>
      </c>
      <c r="M8" s="33">
        <v>19401.434622840101</v>
      </c>
      <c r="N8" s="33">
        <v>832.06463573999895</v>
      </c>
      <c r="O8" s="31">
        <v>222273.46941858</v>
      </c>
      <c r="P8" s="33">
        <v>267992.80378999998</v>
      </c>
      <c r="Q8" s="31">
        <v>82.94</v>
      </c>
    </row>
    <row r="9" spans="1:17" ht="23.1" customHeight="1" x14ac:dyDescent="0.25">
      <c r="A9" s="43" t="s">
        <v>40</v>
      </c>
      <c r="B9" s="64">
        <v>15545</v>
      </c>
      <c r="C9" s="64">
        <v>32259.855</v>
      </c>
      <c r="D9" s="53">
        <v>16298.526</v>
      </c>
      <c r="E9" s="75">
        <v>2098185</v>
      </c>
      <c r="F9" s="64">
        <v>2231136.8640000001</v>
      </c>
      <c r="G9" s="64">
        <v>2745113.3390000002</v>
      </c>
      <c r="H9" s="84">
        <v>81.28</v>
      </c>
      <c r="I9" s="93">
        <v>21580.432377000001</v>
      </c>
      <c r="J9" s="102">
        <v>685.83246999999994</v>
      </c>
      <c r="K9" s="84">
        <v>22266.264846999999</v>
      </c>
      <c r="L9" s="93">
        <v>199715.31461999999</v>
      </c>
      <c r="M9" s="102">
        <v>27479.992149177</v>
      </c>
      <c r="N9" s="102">
        <v>688.66222037999796</v>
      </c>
      <c r="O9" s="84">
        <v>227883.968989557</v>
      </c>
      <c r="P9" s="102">
        <v>255913.74723000001</v>
      </c>
      <c r="Q9" s="84">
        <v>89.05</v>
      </c>
    </row>
    <row r="10" spans="1:17" ht="23.1" customHeight="1" x14ac:dyDescent="0.25">
      <c r="A10" s="45" t="s">
        <v>24</v>
      </c>
      <c r="B10" s="29">
        <v>14105</v>
      </c>
      <c r="C10" s="29">
        <v>29684.665000000201</v>
      </c>
      <c r="D10" s="28">
        <v>15177.67</v>
      </c>
      <c r="E10" s="30">
        <v>1870732</v>
      </c>
      <c r="F10" s="29">
        <v>1992242.1710000001</v>
      </c>
      <c r="G10" s="29">
        <v>2537146.645</v>
      </c>
      <c r="H10" s="31">
        <v>78.52</v>
      </c>
      <c r="I10" s="32">
        <v>20605.505686</v>
      </c>
      <c r="J10" s="33">
        <v>806.99036999999998</v>
      </c>
      <c r="K10" s="31">
        <v>21412.496056</v>
      </c>
      <c r="L10" s="32">
        <v>177669.31490000099</v>
      </c>
      <c r="M10" s="33">
        <v>26500.297506589999</v>
      </c>
      <c r="N10" s="33">
        <v>806.61022276999904</v>
      </c>
      <c r="O10" s="31">
        <v>204976.222629361</v>
      </c>
      <c r="P10" s="33">
        <v>235655.66191000101</v>
      </c>
      <c r="Q10" s="31">
        <v>86.98</v>
      </c>
    </row>
    <row r="11" spans="1:17" ht="23.1" customHeight="1" x14ac:dyDescent="0.25">
      <c r="A11" s="43" t="s">
        <v>25</v>
      </c>
      <c r="B11" s="64">
        <v>14249</v>
      </c>
      <c r="C11" s="64">
        <v>34771.379999999903</v>
      </c>
      <c r="D11" s="53">
        <v>16175.296</v>
      </c>
      <c r="E11" s="75">
        <v>1986947</v>
      </c>
      <c r="F11" s="64">
        <v>2362940.1889999998</v>
      </c>
      <c r="G11" s="64">
        <v>2885312.8059999999</v>
      </c>
      <c r="H11" s="84">
        <v>81.900000000000006</v>
      </c>
      <c r="I11" s="93">
        <v>19267.2677</v>
      </c>
      <c r="J11" s="102">
        <v>746.05511999999999</v>
      </c>
      <c r="K11" s="84">
        <v>20013.322820000001</v>
      </c>
      <c r="L11" s="93">
        <v>211078.85340000101</v>
      </c>
      <c r="M11" s="102">
        <v>25345.507730782901</v>
      </c>
      <c r="N11" s="102">
        <v>776.57348468999805</v>
      </c>
      <c r="O11" s="84">
        <v>237200.934615473</v>
      </c>
      <c r="P11" s="102">
        <v>270515.711049998</v>
      </c>
      <c r="Q11" s="84">
        <v>87.68</v>
      </c>
    </row>
    <row r="12" spans="1:17" ht="23.1" customHeight="1" x14ac:dyDescent="0.25">
      <c r="A12" s="45" t="s">
        <v>26</v>
      </c>
      <c r="B12" s="29">
        <v>14747</v>
      </c>
      <c r="C12" s="29">
        <v>31354.28</v>
      </c>
      <c r="D12" s="28">
        <v>16088.853999999999</v>
      </c>
      <c r="E12" s="30">
        <v>2008330</v>
      </c>
      <c r="F12" s="29">
        <v>2202882.2590000001</v>
      </c>
      <c r="G12" s="29">
        <v>2778933.318</v>
      </c>
      <c r="H12" s="31">
        <v>79.27</v>
      </c>
      <c r="I12" s="32">
        <v>25280.247205799998</v>
      </c>
      <c r="J12" s="33">
        <v>800.45888000000002</v>
      </c>
      <c r="K12" s="31">
        <v>26080.7060858</v>
      </c>
      <c r="L12" s="32">
        <v>194534.407769999</v>
      </c>
      <c r="M12" s="33">
        <v>33022.645733002799</v>
      </c>
      <c r="N12" s="33">
        <v>833.41543395000099</v>
      </c>
      <c r="O12" s="31">
        <v>228390.46893695201</v>
      </c>
      <c r="P12" s="33">
        <v>273208.97665999999</v>
      </c>
      <c r="Q12" s="31">
        <v>83.6</v>
      </c>
    </row>
    <row r="13" spans="1:17" ht="23.1" customHeight="1" x14ac:dyDescent="0.25">
      <c r="A13" s="43" t="s">
        <v>27</v>
      </c>
      <c r="B13" s="64">
        <v>15738</v>
      </c>
      <c r="C13" s="64">
        <v>33034.140000000101</v>
      </c>
      <c r="D13" s="53">
        <v>17069.191999999999</v>
      </c>
      <c r="E13" s="75">
        <v>2056159</v>
      </c>
      <c r="F13" s="64">
        <v>2210844.42</v>
      </c>
      <c r="G13" s="64">
        <v>2929679.18</v>
      </c>
      <c r="H13" s="84">
        <v>75.459999999999994</v>
      </c>
      <c r="I13" s="93">
        <v>26649.5283452</v>
      </c>
      <c r="J13" s="102">
        <v>695.78819999999996</v>
      </c>
      <c r="K13" s="84">
        <v>27345.316545199999</v>
      </c>
      <c r="L13" s="93">
        <v>196556.82335000101</v>
      </c>
      <c r="M13" s="102">
        <v>34509.217832802802</v>
      </c>
      <c r="N13" s="102">
        <v>711.61178889000098</v>
      </c>
      <c r="O13" s="84">
        <v>231777.65297169401</v>
      </c>
      <c r="P13" s="102">
        <v>287614.45695999998</v>
      </c>
      <c r="Q13" s="84">
        <v>80.59</v>
      </c>
    </row>
    <row r="14" spans="1:17" ht="23.1" customHeight="1" x14ac:dyDescent="0.25">
      <c r="A14" s="45" t="s">
        <v>28</v>
      </c>
      <c r="B14" s="29">
        <v>15602</v>
      </c>
      <c r="C14" s="29">
        <v>32697.83</v>
      </c>
      <c r="D14" s="28">
        <v>16845.157999999999</v>
      </c>
      <c r="E14" s="30">
        <v>2357226</v>
      </c>
      <c r="F14" s="29">
        <v>2540645.9679999999</v>
      </c>
      <c r="G14" s="29">
        <v>2851995.3339999998</v>
      </c>
      <c r="H14" s="31">
        <v>89.08</v>
      </c>
      <c r="I14" s="32">
        <v>27492.1757999</v>
      </c>
      <c r="J14" s="33">
        <v>707.51387599999998</v>
      </c>
      <c r="K14" s="31">
        <v>28199.689675900001</v>
      </c>
      <c r="L14" s="32">
        <v>225711.72269999899</v>
      </c>
      <c r="M14" s="33">
        <v>35835.704559160396</v>
      </c>
      <c r="N14" s="33">
        <v>719.820300473001</v>
      </c>
      <c r="O14" s="31">
        <v>262267.247559632</v>
      </c>
      <c r="P14" s="33">
        <v>286286.72551999998</v>
      </c>
      <c r="Q14" s="31">
        <v>91.61</v>
      </c>
    </row>
    <row r="15" spans="1:17" ht="23.1" customHeight="1" x14ac:dyDescent="0.25">
      <c r="A15" s="121" t="s">
        <v>29</v>
      </c>
      <c r="B15" s="2">
        <v>15551</v>
      </c>
      <c r="C15" s="2">
        <v>32452.94</v>
      </c>
      <c r="D15" s="13">
        <v>16685.509999999998</v>
      </c>
      <c r="E15" s="24">
        <v>2389728</v>
      </c>
      <c r="F15" s="2">
        <v>2544302.838</v>
      </c>
      <c r="G15" s="2">
        <v>2829741.2960000001</v>
      </c>
      <c r="H15" s="35">
        <v>89.91</v>
      </c>
      <c r="I15" s="44">
        <v>28912.728366709998</v>
      </c>
      <c r="J15" s="49">
        <v>807.80228099999999</v>
      </c>
      <c r="K15" s="35">
        <v>29720.530647709998</v>
      </c>
      <c r="L15" s="44">
        <v>232428.024930001</v>
      </c>
      <c r="M15" s="49">
        <v>37838.944573565801</v>
      </c>
      <c r="N15" s="49">
        <v>789.82371965500101</v>
      </c>
      <c r="O15" s="35">
        <v>271056.79322322202</v>
      </c>
      <c r="P15" s="102">
        <v>293892.28060000099</v>
      </c>
      <c r="Q15" s="84">
        <v>92.23</v>
      </c>
    </row>
    <row r="16" spans="1:17" ht="23.1" customHeight="1" x14ac:dyDescent="0.25">
      <c r="A16" s="34" t="s">
        <v>30</v>
      </c>
      <c r="B16" s="36">
        <f t="shared" ref="B16:G16" si="0">IFERROR(SUM(B4:B15),"")</f>
        <v>187395</v>
      </c>
      <c r="C16" s="36">
        <f t="shared" si="0"/>
        <v>394793.4180000003</v>
      </c>
      <c r="D16" s="36">
        <f t="shared" si="0"/>
        <v>199952.94199999998</v>
      </c>
      <c r="E16" s="36">
        <f t="shared" si="0"/>
        <v>26173414</v>
      </c>
      <c r="F16" s="36">
        <f t="shared" si="0"/>
        <v>28112319.665999997</v>
      </c>
      <c r="G16" s="36">
        <f t="shared" si="0"/>
        <v>34141871.501000002</v>
      </c>
      <c r="H16" s="37">
        <f>IFERROR(F16/G16*100,"")</f>
        <v>82.33971493090705</v>
      </c>
      <c r="I16" s="37">
        <f t="shared" ref="I16:P16" si="1">IFERROR(SUM(I4:I15),"")</f>
        <v>235168.84601301001</v>
      </c>
      <c r="J16" s="37">
        <f t="shared" si="1"/>
        <v>9224.3467270000001</v>
      </c>
      <c r="K16" s="37">
        <f t="shared" si="1"/>
        <v>244393.19274001001</v>
      </c>
      <c r="L16" s="37">
        <f t="shared" si="1"/>
        <v>2515179.2047000024</v>
      </c>
      <c r="M16" s="37">
        <f t="shared" si="1"/>
        <v>303743.11587802181</v>
      </c>
      <c r="N16" s="37">
        <f t="shared" si="1"/>
        <v>9339.1800841479944</v>
      </c>
      <c r="O16" s="37">
        <f t="shared" si="1"/>
        <v>2828261.5006621713</v>
      </c>
      <c r="P16" s="38">
        <f t="shared" si="1"/>
        <v>3265056.7322599995</v>
      </c>
      <c r="Q16" s="38">
        <f>IFERROR(O16/P16*100,"")</f>
        <v>86.622124287087402</v>
      </c>
    </row>
    <row r="17" spans="1:17" ht="20.100000000000001" customHeight="1" x14ac:dyDescent="0.25">
      <c r="A17" s="137" t="s">
        <v>31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</row>
    <row r="18" spans="1:17" ht="15.75" x14ac:dyDescent="0.25">
      <c r="A18" s="127" t="s">
        <v>32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33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39" t="s">
        <v>43</v>
      </c>
      <c r="B20" s="140"/>
      <c r="C20" s="141" t="s">
        <v>34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2" t="s">
        <v>42</v>
      </c>
      <c r="P20" s="142"/>
      <c r="Q20" s="143"/>
    </row>
    <row r="21" spans="1:17" ht="51" customHeight="1" x14ac:dyDescent="0.25">
      <c r="A21" s="144" t="s">
        <v>1</v>
      </c>
      <c r="B21" s="144" t="s">
        <v>2</v>
      </c>
      <c r="C21" s="144"/>
      <c r="D21" s="144"/>
      <c r="E21" s="145" t="s">
        <v>3</v>
      </c>
      <c r="F21" s="145" t="s">
        <v>4</v>
      </c>
      <c r="G21" s="145" t="s">
        <v>5</v>
      </c>
      <c r="H21" s="145" t="s">
        <v>38</v>
      </c>
      <c r="I21" s="144" t="s">
        <v>6</v>
      </c>
      <c r="J21" s="144"/>
      <c r="K21" s="144"/>
      <c r="L21" s="144" t="s">
        <v>7</v>
      </c>
      <c r="M21" s="144"/>
      <c r="N21" s="144"/>
      <c r="O21" s="144"/>
      <c r="P21" s="145" t="s">
        <v>8</v>
      </c>
      <c r="Q21" s="145" t="s">
        <v>39</v>
      </c>
    </row>
    <row r="22" spans="1:17" ht="150.75" customHeight="1" x14ac:dyDescent="0.25">
      <c r="A22" s="144"/>
      <c r="B22" s="19" t="s">
        <v>9</v>
      </c>
      <c r="C22" s="19" t="s">
        <v>10</v>
      </c>
      <c r="D22" s="19" t="s">
        <v>11</v>
      </c>
      <c r="E22" s="145"/>
      <c r="F22" s="145"/>
      <c r="G22" s="145"/>
      <c r="H22" s="145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46"/>
      <c r="Q22" s="146"/>
    </row>
    <row r="23" spans="1:17" ht="23.1" customHeight="1" x14ac:dyDescent="0.25">
      <c r="A23" s="15" t="s">
        <v>19</v>
      </c>
      <c r="B23" s="7">
        <v>5254</v>
      </c>
      <c r="C23" s="8">
        <v>35360.641999999898</v>
      </c>
      <c r="D23" s="9">
        <v>25721.017</v>
      </c>
      <c r="E23" s="7">
        <v>1024098</v>
      </c>
      <c r="F23" s="8">
        <v>5817199.4550000001</v>
      </c>
      <c r="G23" s="8">
        <v>6607837.8020000001</v>
      </c>
      <c r="H23" s="10">
        <v>88.03</v>
      </c>
      <c r="I23" s="11">
        <v>14279.175300000001</v>
      </c>
      <c r="J23" s="11">
        <v>204.04242124360101</v>
      </c>
      <c r="K23" s="11">
        <v>14483.2177212436</v>
      </c>
      <c r="L23" s="12">
        <v>628175.02772999904</v>
      </c>
      <c r="M23" s="11">
        <v>91188.887498800003</v>
      </c>
      <c r="N23" s="11">
        <v>1569.01633306081</v>
      </c>
      <c r="O23" s="14">
        <v>720932.93156186002</v>
      </c>
      <c r="P23" s="12">
        <v>794929.89275</v>
      </c>
      <c r="Q23" s="14">
        <v>90.69</v>
      </c>
    </row>
    <row r="24" spans="1:17" ht="23.1" customHeight="1" x14ac:dyDescent="0.25">
      <c r="A24" s="51" t="s">
        <v>20</v>
      </c>
      <c r="B24" s="51">
        <v>4852</v>
      </c>
      <c r="C24" s="50">
        <v>32746.219000000001</v>
      </c>
      <c r="D24" s="52">
        <v>23960.627</v>
      </c>
      <c r="E24" s="51">
        <v>955197</v>
      </c>
      <c r="F24" s="50">
        <v>5449990.1629999997</v>
      </c>
      <c r="G24" s="50">
        <v>6166912.4210000001</v>
      </c>
      <c r="H24" s="54">
        <v>88.37</v>
      </c>
      <c r="I24" s="55">
        <v>14776.413200000001</v>
      </c>
      <c r="J24" s="55">
        <v>156.28835317854299</v>
      </c>
      <c r="K24" s="55">
        <v>14932.7015531785</v>
      </c>
      <c r="L24" s="56">
        <v>576349.31149999995</v>
      </c>
      <c r="M24" s="55">
        <v>93644.935589999994</v>
      </c>
      <c r="N24" s="55">
        <v>1240.8994049999999</v>
      </c>
      <c r="O24" s="54">
        <v>671235.14649499999</v>
      </c>
      <c r="P24" s="56">
        <v>736399.20290000003</v>
      </c>
      <c r="Q24" s="54">
        <v>91.15</v>
      </c>
    </row>
    <row r="25" spans="1:17" ht="23.1" customHeight="1" x14ac:dyDescent="0.25">
      <c r="A25" s="15" t="s">
        <v>21</v>
      </c>
      <c r="B25" s="15">
        <v>5222</v>
      </c>
      <c r="C25" s="6">
        <v>34832.156999999999</v>
      </c>
      <c r="D25" s="16">
        <v>25533.505000000001</v>
      </c>
      <c r="E25" s="15">
        <v>965068</v>
      </c>
      <c r="F25" s="6">
        <v>5395312.3269999996</v>
      </c>
      <c r="G25" s="6">
        <v>6543926.9170000004</v>
      </c>
      <c r="H25" s="10">
        <v>82.45</v>
      </c>
      <c r="I25" s="17">
        <v>17447.8292</v>
      </c>
      <c r="J25" s="17">
        <v>210.63019179923299</v>
      </c>
      <c r="K25" s="17">
        <v>17658.459391799199</v>
      </c>
      <c r="L25" s="18">
        <v>562000.81202999898</v>
      </c>
      <c r="M25" s="17">
        <v>110564.2495034</v>
      </c>
      <c r="N25" s="17">
        <v>1686.0190201195701</v>
      </c>
      <c r="O25" s="10">
        <v>674251.08055351896</v>
      </c>
      <c r="P25" s="18">
        <v>771919.32516000199</v>
      </c>
      <c r="Q25" s="10">
        <v>87.35</v>
      </c>
    </row>
    <row r="26" spans="1:17" ht="23.1" customHeight="1" x14ac:dyDescent="0.25">
      <c r="A26" s="51" t="s">
        <v>22</v>
      </c>
      <c r="B26" s="51">
        <v>5092</v>
      </c>
      <c r="C26" s="50">
        <v>34365.379000000001</v>
      </c>
      <c r="D26" s="52">
        <v>24758.600999999999</v>
      </c>
      <c r="E26" s="51">
        <v>936587</v>
      </c>
      <c r="F26" s="50">
        <v>5203893.8020000001</v>
      </c>
      <c r="G26" s="50">
        <v>6334257.2120000003</v>
      </c>
      <c r="H26" s="54">
        <v>82.15</v>
      </c>
      <c r="I26" s="55">
        <v>15327.8552</v>
      </c>
      <c r="J26" s="55">
        <v>204.40227821229101</v>
      </c>
      <c r="K26" s="55">
        <v>15532.257478212299</v>
      </c>
      <c r="L26" s="56">
        <v>547152.52968000004</v>
      </c>
      <c r="M26" s="55">
        <v>96370.3813465001</v>
      </c>
      <c r="N26" s="55">
        <v>1618.73725760615</v>
      </c>
      <c r="O26" s="54">
        <v>645141.64828410605</v>
      </c>
      <c r="P26" s="56">
        <v>746073.226399999</v>
      </c>
      <c r="Q26" s="54">
        <v>86.47</v>
      </c>
    </row>
    <row r="27" spans="1:17" ht="30" customHeight="1" x14ac:dyDescent="0.25">
      <c r="A27" s="15" t="s">
        <v>23</v>
      </c>
      <c r="B27" s="15">
        <v>5118</v>
      </c>
      <c r="C27" s="6">
        <v>35967.106</v>
      </c>
      <c r="D27" s="16">
        <v>24882.164000000001</v>
      </c>
      <c r="E27" s="15">
        <v>915535</v>
      </c>
      <c r="F27" s="6">
        <v>5058919.97</v>
      </c>
      <c r="G27" s="6">
        <v>6376434.9019999998</v>
      </c>
      <c r="H27" s="10">
        <v>79.34</v>
      </c>
      <c r="I27" s="17">
        <v>17441.883978599999</v>
      </c>
      <c r="J27" s="17">
        <v>226.57740000000001</v>
      </c>
      <c r="K27" s="17">
        <v>17668.461378600001</v>
      </c>
      <c r="L27" s="18">
        <v>533843.36971</v>
      </c>
      <c r="M27" s="17">
        <v>106311.089043124</v>
      </c>
      <c r="N27" s="17">
        <v>1731.3616314999999</v>
      </c>
      <c r="O27" s="10">
        <v>641885.82038462395</v>
      </c>
      <c r="P27" s="18">
        <v>748263.24864000303</v>
      </c>
      <c r="Q27" s="10">
        <v>85.78</v>
      </c>
    </row>
    <row r="28" spans="1:17" ht="23.1" customHeight="1" x14ac:dyDescent="0.25">
      <c r="A28" s="51" t="s">
        <v>40</v>
      </c>
      <c r="B28" s="51">
        <v>4468</v>
      </c>
      <c r="C28" s="50">
        <v>28926.186000000002</v>
      </c>
      <c r="D28" s="52">
        <v>19787.760999999999</v>
      </c>
      <c r="E28" s="51">
        <v>795343</v>
      </c>
      <c r="F28" s="50">
        <v>4026457.6549999998</v>
      </c>
      <c r="G28" s="50">
        <v>4909234.6569999997</v>
      </c>
      <c r="H28" s="54">
        <v>82.02</v>
      </c>
      <c r="I28" s="55">
        <v>25305.128313000001</v>
      </c>
      <c r="J28" s="55">
        <v>154.80709999999999</v>
      </c>
      <c r="K28" s="55">
        <v>25459.935412999999</v>
      </c>
      <c r="L28" s="56">
        <v>416872.82743</v>
      </c>
      <c r="M28" s="55">
        <v>149659.30814455301</v>
      </c>
      <c r="N28" s="55">
        <v>962.233042999997</v>
      </c>
      <c r="O28" s="54">
        <v>567494.36861755303</v>
      </c>
      <c r="P28" s="56">
        <v>932520.11323000095</v>
      </c>
      <c r="Q28" s="54">
        <v>60.86</v>
      </c>
    </row>
    <row r="29" spans="1:17" ht="23.1" customHeight="1" x14ac:dyDescent="0.25">
      <c r="A29" s="15" t="s">
        <v>41</v>
      </c>
      <c r="B29" s="15">
        <v>4660</v>
      </c>
      <c r="C29" s="6">
        <v>30864.717000000001</v>
      </c>
      <c r="D29" s="16">
        <v>21299.819</v>
      </c>
      <c r="E29" s="15">
        <v>785494</v>
      </c>
      <c r="F29" s="6">
        <v>4078193.8289999999</v>
      </c>
      <c r="G29" s="6">
        <v>5341428.8990000002</v>
      </c>
      <c r="H29" s="10">
        <v>76.349999999999994</v>
      </c>
      <c r="I29" s="17">
        <v>27517.3976258</v>
      </c>
      <c r="J29" s="17">
        <v>192.7902</v>
      </c>
      <c r="K29" s="17">
        <v>27710.1878258</v>
      </c>
      <c r="L29" s="18">
        <v>423697.15470999997</v>
      </c>
      <c r="M29" s="17">
        <v>162858.91738998599</v>
      </c>
      <c r="N29" s="17">
        <v>1418.9098779000001</v>
      </c>
      <c r="O29" s="10">
        <v>587974.98197788605</v>
      </c>
      <c r="P29" s="18">
        <v>602828.02488000004</v>
      </c>
      <c r="Q29" s="10">
        <v>97.54</v>
      </c>
    </row>
    <row r="30" spans="1:17" ht="23.1" customHeight="1" x14ac:dyDescent="0.25">
      <c r="A30" s="51" t="s">
        <v>25</v>
      </c>
      <c r="B30" s="51">
        <v>4715</v>
      </c>
      <c r="C30" s="50">
        <v>32356.0099999999</v>
      </c>
      <c r="D30" s="52">
        <v>21192.27</v>
      </c>
      <c r="E30" s="51">
        <v>819812</v>
      </c>
      <c r="F30" s="50">
        <v>4292902.4730000002</v>
      </c>
      <c r="G30" s="50">
        <v>5298488.5719999997</v>
      </c>
      <c r="H30" s="54">
        <v>81.02</v>
      </c>
      <c r="I30" s="55">
        <v>20798.507290199999</v>
      </c>
      <c r="J30" s="55">
        <v>187.3313</v>
      </c>
      <c r="K30" s="55">
        <v>20985.838590200001</v>
      </c>
      <c r="L30" s="56">
        <v>447877.71647000202</v>
      </c>
      <c r="M30" s="55">
        <v>136114.34675322101</v>
      </c>
      <c r="N30" s="55">
        <v>1312.18151640001</v>
      </c>
      <c r="O30" s="54">
        <v>585304.24473962304</v>
      </c>
      <c r="P30" s="56">
        <v>615146.01130000199</v>
      </c>
      <c r="Q30" s="54">
        <v>95.15</v>
      </c>
    </row>
    <row r="31" spans="1:17" ht="23.1" customHeight="1" x14ac:dyDescent="0.25">
      <c r="A31" s="15" t="s">
        <v>26</v>
      </c>
      <c r="B31" s="15">
        <v>4552</v>
      </c>
      <c r="C31" s="6">
        <v>29250.6700000001</v>
      </c>
      <c r="D31" s="16">
        <v>20039.454000000002</v>
      </c>
      <c r="E31" s="15">
        <v>771859</v>
      </c>
      <c r="F31" s="6">
        <v>3871156.6460000002</v>
      </c>
      <c r="G31" s="6">
        <v>5041339.1500000004</v>
      </c>
      <c r="H31" s="10">
        <v>76.790000000000006</v>
      </c>
      <c r="I31" s="17">
        <v>32323.590142000001</v>
      </c>
      <c r="J31" s="17">
        <v>227.43620000000001</v>
      </c>
      <c r="K31" s="17">
        <v>32551.026342000001</v>
      </c>
      <c r="L31" s="18">
        <v>404067.21389999898</v>
      </c>
      <c r="M31" s="17">
        <v>200066.01444753</v>
      </c>
      <c r="N31" s="17">
        <v>1523.0034433999999</v>
      </c>
      <c r="O31" s="10">
        <v>605656.23179092898</v>
      </c>
      <c r="P31" s="18">
        <v>696976.04723000003</v>
      </c>
      <c r="Q31" s="10">
        <v>86.9</v>
      </c>
    </row>
    <row r="32" spans="1:17" ht="23.1" customHeight="1" x14ac:dyDescent="0.25">
      <c r="A32" s="51" t="s">
        <v>27</v>
      </c>
      <c r="B32" s="51">
        <v>4965</v>
      </c>
      <c r="C32" s="50">
        <v>32959.520000000099</v>
      </c>
      <c r="D32" s="52">
        <v>22699.642</v>
      </c>
      <c r="E32" s="51">
        <v>834976</v>
      </c>
      <c r="F32" s="50">
        <v>4303396.8890000004</v>
      </c>
      <c r="G32" s="50">
        <v>5734665.8459999999</v>
      </c>
      <c r="H32" s="54">
        <v>75.040000000000006</v>
      </c>
      <c r="I32" s="55">
        <v>36254.044948199997</v>
      </c>
      <c r="J32" s="55">
        <v>218.68039999999999</v>
      </c>
      <c r="K32" s="55">
        <v>36472.725348200001</v>
      </c>
      <c r="L32" s="56">
        <v>445056.73849000002</v>
      </c>
      <c r="M32" s="55">
        <v>222951.481309144</v>
      </c>
      <c r="N32" s="55">
        <v>1316.1766918999799</v>
      </c>
      <c r="O32" s="54">
        <v>669324.39649104397</v>
      </c>
      <c r="P32" s="56">
        <v>781100.73665999901</v>
      </c>
      <c r="Q32" s="54">
        <v>85.69</v>
      </c>
    </row>
    <row r="33" spans="1:17" ht="23.1" customHeight="1" x14ac:dyDescent="0.25">
      <c r="A33" s="15" t="s">
        <v>28</v>
      </c>
      <c r="B33" s="15">
        <v>4741</v>
      </c>
      <c r="C33" s="6">
        <v>32277.780000000101</v>
      </c>
      <c r="D33" s="16">
        <v>22232.559000000001</v>
      </c>
      <c r="E33" s="15">
        <v>866127</v>
      </c>
      <c r="F33" s="6">
        <v>4621185.1909999996</v>
      </c>
      <c r="G33" s="6">
        <v>5668675.1799999997</v>
      </c>
      <c r="H33" s="10">
        <v>81.52</v>
      </c>
      <c r="I33" s="17">
        <v>42165.2568723</v>
      </c>
      <c r="J33" s="17">
        <v>271.21611300000001</v>
      </c>
      <c r="K33" s="17">
        <v>42436.472985300003</v>
      </c>
      <c r="L33" s="18">
        <v>481345.40381999902</v>
      </c>
      <c r="M33" s="17">
        <v>261878.49639449699</v>
      </c>
      <c r="N33" s="17">
        <v>1810.4488489549999</v>
      </c>
      <c r="O33" s="10">
        <v>745034.34906345105</v>
      </c>
      <c r="P33" s="18">
        <v>826722.23488000105</v>
      </c>
      <c r="Q33" s="10">
        <v>90.12</v>
      </c>
    </row>
    <row r="34" spans="1:17" ht="23.1" customHeight="1" x14ac:dyDescent="0.25">
      <c r="A34" s="51" t="s">
        <v>29</v>
      </c>
      <c r="B34" s="57">
        <v>4928</v>
      </c>
      <c r="C34" s="58">
        <v>33808.18</v>
      </c>
      <c r="D34" s="59">
        <v>23205.433000000001</v>
      </c>
      <c r="E34" s="57">
        <v>894266</v>
      </c>
      <c r="F34" s="58">
        <v>4807554.0219999999</v>
      </c>
      <c r="G34" s="58">
        <v>5912645.9589999998</v>
      </c>
      <c r="H34" s="54">
        <v>81.31</v>
      </c>
      <c r="I34" s="60">
        <v>45875.186199199998</v>
      </c>
      <c r="J34" s="60">
        <v>308.1866</v>
      </c>
      <c r="K34" s="60">
        <v>46183.372799199999</v>
      </c>
      <c r="L34" s="61">
        <v>502515.15182999999</v>
      </c>
      <c r="M34" s="60">
        <v>283374.032226854</v>
      </c>
      <c r="N34" s="60">
        <v>2291.7554157999998</v>
      </c>
      <c r="O34" s="62">
        <v>788180.93947265402</v>
      </c>
      <c r="P34" s="61">
        <v>874534.61478000099</v>
      </c>
      <c r="Q34" s="62">
        <v>90.13</v>
      </c>
    </row>
    <row r="35" spans="1:17" ht="23.1" customHeight="1" x14ac:dyDescent="0.25">
      <c r="A35" s="126" t="s">
        <v>30</v>
      </c>
      <c r="B35" s="3">
        <f t="shared" ref="B35:G35" si="2">IFERROR(SUM(B23:B34),"")</f>
        <v>58567</v>
      </c>
      <c r="C35" s="3">
        <f t="shared" si="2"/>
        <v>393714.56600000005</v>
      </c>
      <c r="D35" s="3">
        <f t="shared" si="2"/>
        <v>275312.85199999996</v>
      </c>
      <c r="E35" s="3">
        <f t="shared" si="2"/>
        <v>10564362</v>
      </c>
      <c r="F35" s="3">
        <f t="shared" si="2"/>
        <v>56926162.421999998</v>
      </c>
      <c r="G35" s="3">
        <f t="shared" si="2"/>
        <v>69935847.517000005</v>
      </c>
      <c r="H35" s="4">
        <f>IFERROR(F35/G35*100,"")</f>
        <v>81.397687227801725</v>
      </c>
      <c r="I35" s="5">
        <f t="shared" ref="I35:P35" si="3">IFERROR(SUM(I23:I34),"")</f>
        <v>309512.2682693</v>
      </c>
      <c r="J35" s="5">
        <f t="shared" si="3"/>
        <v>2562.3885574336682</v>
      </c>
      <c r="K35" s="5">
        <f t="shared" si="3"/>
        <v>312074.65682673361</v>
      </c>
      <c r="L35" s="5">
        <f t="shared" si="3"/>
        <v>5968953.2572999978</v>
      </c>
      <c r="M35" s="5">
        <f t="shared" si="3"/>
        <v>1914982.1396476091</v>
      </c>
      <c r="N35" s="5">
        <f t="shared" si="3"/>
        <v>18480.742484641516</v>
      </c>
      <c r="O35" s="5">
        <f t="shared" si="3"/>
        <v>7902416.1394322487</v>
      </c>
      <c r="P35" s="5">
        <f t="shared" si="3"/>
        <v>9127412.6788100079</v>
      </c>
      <c r="Q35" s="5">
        <f>IFERROR(O35/P35*100,"")</f>
        <v>86.578928963936491</v>
      </c>
    </row>
    <row r="36" spans="1:17" ht="15.75" x14ac:dyDescent="0.25">
      <c r="A36" s="137" t="s">
        <v>31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</row>
    <row r="37" spans="1:17" ht="15.75" x14ac:dyDescent="0.25">
      <c r="A37" s="127" t="s">
        <v>32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33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47" t="s">
        <v>43</v>
      </c>
      <c r="B39" s="148"/>
      <c r="C39" s="149" t="s">
        <v>35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 t="s">
        <v>42</v>
      </c>
      <c r="P39" s="150"/>
      <c r="Q39" s="151"/>
    </row>
    <row r="40" spans="1:17" ht="39.75" customHeight="1" x14ac:dyDescent="0.25">
      <c r="A40" s="152" t="s">
        <v>1</v>
      </c>
      <c r="B40" s="152" t="s">
        <v>2</v>
      </c>
      <c r="C40" s="152"/>
      <c r="D40" s="152"/>
      <c r="E40" s="153" t="s">
        <v>3</v>
      </c>
      <c r="F40" s="153" t="s">
        <v>4</v>
      </c>
      <c r="G40" s="153" t="s">
        <v>5</v>
      </c>
      <c r="H40" s="153" t="s">
        <v>38</v>
      </c>
      <c r="I40" s="152" t="s">
        <v>6</v>
      </c>
      <c r="J40" s="152"/>
      <c r="K40" s="152"/>
      <c r="L40" s="152" t="s">
        <v>7</v>
      </c>
      <c r="M40" s="152"/>
      <c r="N40" s="152"/>
      <c r="O40" s="152"/>
      <c r="P40" s="153" t="s">
        <v>8</v>
      </c>
      <c r="Q40" s="153" t="s">
        <v>39</v>
      </c>
    </row>
    <row r="41" spans="1:17" ht="178.5" customHeight="1" x14ac:dyDescent="0.25">
      <c r="A41" s="152"/>
      <c r="B41" s="40" t="s">
        <v>9</v>
      </c>
      <c r="C41" s="40" t="s">
        <v>10</v>
      </c>
      <c r="D41" s="40" t="s">
        <v>11</v>
      </c>
      <c r="E41" s="154"/>
      <c r="F41" s="154"/>
      <c r="G41" s="154"/>
      <c r="H41" s="154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54"/>
      <c r="Q41" s="154"/>
    </row>
    <row r="42" spans="1:17" ht="25.5" customHeight="1" x14ac:dyDescent="0.25">
      <c r="A42" s="46" t="s">
        <v>19</v>
      </c>
      <c r="B42" s="103">
        <v>165</v>
      </c>
      <c r="C42" s="104">
        <v>227.3</v>
      </c>
      <c r="D42" s="105">
        <v>88.563999999999993</v>
      </c>
      <c r="E42" s="103">
        <v>22578</v>
      </c>
      <c r="F42" s="104">
        <v>11792.433000000001</v>
      </c>
      <c r="G42" s="104">
        <v>14825.495999999999</v>
      </c>
      <c r="H42" s="106">
        <v>79.540000000000006</v>
      </c>
      <c r="I42" s="107">
        <v>4.8522999999999996</v>
      </c>
      <c r="J42" s="108">
        <v>0</v>
      </c>
      <c r="K42" s="106">
        <v>4.8522999999999996</v>
      </c>
      <c r="L42" s="107">
        <v>1134.31203</v>
      </c>
      <c r="M42" s="108">
        <v>8.1359288999999997</v>
      </c>
      <c r="N42" s="108">
        <v>0</v>
      </c>
      <c r="O42" s="106">
        <v>1142.4479589</v>
      </c>
      <c r="P42" s="107">
        <v>1377.2147500000001</v>
      </c>
      <c r="Q42" s="106">
        <v>82.95</v>
      </c>
    </row>
    <row r="43" spans="1:17" ht="25.5" customHeight="1" x14ac:dyDescent="0.25">
      <c r="A43" s="47" t="s">
        <v>20</v>
      </c>
      <c r="B43" s="63">
        <v>141</v>
      </c>
      <c r="C43" s="65">
        <v>187.26599999999999</v>
      </c>
      <c r="D43" s="66">
        <v>74.927999999999997</v>
      </c>
      <c r="E43" s="63">
        <v>20155</v>
      </c>
      <c r="F43" s="65">
        <v>10609.663</v>
      </c>
      <c r="G43" s="65">
        <v>12458.781999999999</v>
      </c>
      <c r="H43" s="67">
        <v>85.16</v>
      </c>
      <c r="I43" s="68">
        <v>4.7889999999999997</v>
      </c>
      <c r="J43" s="69">
        <v>0</v>
      </c>
      <c r="K43" s="67">
        <v>4.7889999999999997</v>
      </c>
      <c r="L43" s="68">
        <v>968.19983999999999</v>
      </c>
      <c r="M43" s="69">
        <v>2.9514279999999999</v>
      </c>
      <c r="N43" s="69">
        <v>0</v>
      </c>
      <c r="O43" s="67">
        <v>971.15126799999996</v>
      </c>
      <c r="P43" s="68">
        <v>1115.5404000000001</v>
      </c>
      <c r="Q43" s="67">
        <v>87.06</v>
      </c>
    </row>
    <row r="44" spans="1:17" ht="25.5" customHeight="1" x14ac:dyDescent="0.25">
      <c r="A44" s="46" t="s">
        <v>21</v>
      </c>
      <c r="B44" s="109">
        <v>112</v>
      </c>
      <c r="C44" s="110">
        <v>136.86799999999999</v>
      </c>
      <c r="D44" s="111">
        <v>48.572000000000003</v>
      </c>
      <c r="E44" s="109">
        <v>14223</v>
      </c>
      <c r="F44" s="110">
        <v>5855.0590000000002</v>
      </c>
      <c r="G44" s="110">
        <v>8041.92</v>
      </c>
      <c r="H44" s="112">
        <v>72.81</v>
      </c>
      <c r="I44" s="113">
        <v>4.3891</v>
      </c>
      <c r="J44" s="114">
        <v>0</v>
      </c>
      <c r="K44" s="112">
        <v>4.3891</v>
      </c>
      <c r="L44" s="113">
        <v>560.13680999999997</v>
      </c>
      <c r="M44" s="114">
        <v>6.3825535999999996</v>
      </c>
      <c r="N44" s="114">
        <v>0</v>
      </c>
      <c r="O44" s="112">
        <v>566.51936360000002</v>
      </c>
      <c r="P44" s="113">
        <v>739.82638999999995</v>
      </c>
      <c r="Q44" s="112">
        <v>76.569999999999993</v>
      </c>
    </row>
    <row r="45" spans="1:17" ht="25.5" customHeight="1" x14ac:dyDescent="0.25">
      <c r="A45" s="47" t="s">
        <v>22</v>
      </c>
      <c r="B45" s="63">
        <v>113</v>
      </c>
      <c r="C45" s="70">
        <v>179.65199999999999</v>
      </c>
      <c r="D45" s="66">
        <v>78.542000000000002</v>
      </c>
      <c r="E45" s="63">
        <v>14128</v>
      </c>
      <c r="F45" s="65">
        <v>8865.6939999999995</v>
      </c>
      <c r="G45" s="65">
        <v>12290.036</v>
      </c>
      <c r="H45" s="67">
        <v>72.14</v>
      </c>
      <c r="I45" s="68">
        <v>9.2889999999999997</v>
      </c>
      <c r="J45" s="69">
        <v>0</v>
      </c>
      <c r="K45" s="67">
        <v>9.2889999999999997</v>
      </c>
      <c r="L45" s="68">
        <v>851.80739000000005</v>
      </c>
      <c r="M45" s="69">
        <v>14.433756000000001</v>
      </c>
      <c r="N45" s="69">
        <v>0</v>
      </c>
      <c r="O45" s="67">
        <v>866.24114599999996</v>
      </c>
      <c r="P45" s="68">
        <v>1133.3374899999999</v>
      </c>
      <c r="Q45" s="67">
        <v>76.430000000000007</v>
      </c>
    </row>
    <row r="46" spans="1:17" ht="25.5" customHeight="1" x14ac:dyDescent="0.25">
      <c r="A46" s="46" t="s">
        <v>23</v>
      </c>
      <c r="B46" s="109">
        <v>79</v>
      </c>
      <c r="C46" s="115">
        <v>109.752</v>
      </c>
      <c r="D46" s="111">
        <v>41.052</v>
      </c>
      <c r="E46" s="109">
        <v>10102</v>
      </c>
      <c r="F46" s="110">
        <v>5183.7030000000004</v>
      </c>
      <c r="G46" s="110">
        <v>6777.9719999999998</v>
      </c>
      <c r="H46" s="112">
        <v>76.48</v>
      </c>
      <c r="I46" s="113">
        <v>0.98550000000000004</v>
      </c>
      <c r="J46" s="114">
        <v>0</v>
      </c>
      <c r="K46" s="112">
        <v>0.98550000000000004</v>
      </c>
      <c r="L46" s="113">
        <v>504.68637999999999</v>
      </c>
      <c r="M46" s="114">
        <v>1.2897130000000001</v>
      </c>
      <c r="N46" s="114">
        <v>0</v>
      </c>
      <c r="O46" s="112">
        <v>505.97609299999999</v>
      </c>
      <c r="P46" s="113">
        <v>629.99945000000002</v>
      </c>
      <c r="Q46" s="112">
        <v>80.31</v>
      </c>
    </row>
    <row r="47" spans="1:17" ht="25.5" customHeight="1" x14ac:dyDescent="0.25">
      <c r="A47" s="47" t="s">
        <v>40</v>
      </c>
      <c r="B47" s="71">
        <v>81</v>
      </c>
      <c r="C47" s="72">
        <v>96.710999999999999</v>
      </c>
      <c r="D47" s="66">
        <v>28.326000000000001</v>
      </c>
      <c r="E47" s="71">
        <v>10376</v>
      </c>
      <c r="F47" s="72">
        <v>3635.4110000000001</v>
      </c>
      <c r="G47" s="72">
        <v>4687.076</v>
      </c>
      <c r="H47" s="67">
        <v>77.56</v>
      </c>
      <c r="I47" s="73">
        <v>0</v>
      </c>
      <c r="J47" s="74">
        <v>0</v>
      </c>
      <c r="K47" s="67">
        <v>0</v>
      </c>
      <c r="L47" s="73">
        <v>354.87342000000001</v>
      </c>
      <c r="M47" s="74">
        <v>0</v>
      </c>
      <c r="N47" s="74">
        <v>0</v>
      </c>
      <c r="O47" s="67">
        <v>354.87342000000001</v>
      </c>
      <c r="P47" s="73">
        <v>436.90325999999999</v>
      </c>
      <c r="Q47" s="67">
        <v>81.22</v>
      </c>
    </row>
    <row r="48" spans="1:17" ht="25.5" customHeight="1" x14ac:dyDescent="0.25">
      <c r="A48" s="46" t="s">
        <v>41</v>
      </c>
      <c r="B48" s="116">
        <v>80</v>
      </c>
      <c r="C48" s="117">
        <v>92.245999999999995</v>
      </c>
      <c r="D48" s="118">
        <v>28.218</v>
      </c>
      <c r="E48" s="116">
        <v>10571</v>
      </c>
      <c r="F48" s="117">
        <v>3552.2020000000002</v>
      </c>
      <c r="G48" s="117">
        <v>4683.9440000000004</v>
      </c>
      <c r="H48" s="112">
        <v>75.84</v>
      </c>
      <c r="I48" s="119">
        <v>0</v>
      </c>
      <c r="J48" s="120">
        <v>0</v>
      </c>
      <c r="K48" s="112">
        <v>0</v>
      </c>
      <c r="L48" s="119">
        <v>343.67234999999999</v>
      </c>
      <c r="M48" s="120">
        <v>0</v>
      </c>
      <c r="N48" s="120">
        <v>0</v>
      </c>
      <c r="O48" s="112">
        <v>343.67234999999999</v>
      </c>
      <c r="P48" s="119">
        <v>431.94819999999999</v>
      </c>
      <c r="Q48" s="112">
        <v>79.56</v>
      </c>
    </row>
    <row r="49" spans="1:17" ht="25.5" customHeight="1" x14ac:dyDescent="0.25">
      <c r="A49" s="47" t="s">
        <v>25</v>
      </c>
      <c r="B49" s="71"/>
      <c r="C49" s="72"/>
      <c r="D49" s="76"/>
      <c r="E49" s="71"/>
      <c r="F49" s="72"/>
      <c r="G49" s="72"/>
      <c r="H49" s="67"/>
      <c r="I49" s="73"/>
      <c r="J49" s="74"/>
      <c r="K49" s="67"/>
      <c r="L49" s="73"/>
      <c r="M49" s="74"/>
      <c r="N49" s="74"/>
      <c r="O49" s="67"/>
      <c r="P49" s="73"/>
      <c r="Q49" s="67"/>
    </row>
    <row r="50" spans="1:17" ht="25.5" customHeight="1" x14ac:dyDescent="0.25">
      <c r="A50" s="46" t="s">
        <v>26</v>
      </c>
      <c r="B50" s="116">
        <v>80</v>
      </c>
      <c r="C50" s="117">
        <v>90.33</v>
      </c>
      <c r="D50" s="118">
        <v>28.675999999999998</v>
      </c>
      <c r="E50" s="116">
        <v>10416</v>
      </c>
      <c r="F50" s="117">
        <v>3852.9209999999998</v>
      </c>
      <c r="G50" s="117">
        <v>4760.58</v>
      </c>
      <c r="H50" s="112">
        <v>80.930000000000007</v>
      </c>
      <c r="I50" s="119">
        <v>0</v>
      </c>
      <c r="J50" s="120">
        <v>0</v>
      </c>
      <c r="K50" s="112">
        <v>0</v>
      </c>
      <c r="L50" s="119">
        <v>372.96669000000003</v>
      </c>
      <c r="M50" s="120">
        <v>0</v>
      </c>
      <c r="N50" s="120">
        <v>0</v>
      </c>
      <c r="O50" s="112">
        <v>372.96669000000003</v>
      </c>
      <c r="P50" s="119">
        <v>443.76407</v>
      </c>
      <c r="Q50" s="112">
        <v>84.05</v>
      </c>
    </row>
    <row r="51" spans="1:17" ht="25.5" customHeight="1" x14ac:dyDescent="0.25">
      <c r="A51" s="47" t="s">
        <v>27</v>
      </c>
      <c r="B51" s="71">
        <v>100</v>
      </c>
      <c r="C51" s="72">
        <v>119.68</v>
      </c>
      <c r="D51" s="76">
        <v>46.115000000000002</v>
      </c>
      <c r="E51" s="71">
        <v>12316</v>
      </c>
      <c r="F51" s="72">
        <v>5809.0709999999999</v>
      </c>
      <c r="G51" s="72">
        <v>7694.3919999999998</v>
      </c>
      <c r="H51" s="67">
        <v>75.5</v>
      </c>
      <c r="I51" s="73">
        <v>4.1460578999999997</v>
      </c>
      <c r="J51" s="74">
        <v>0</v>
      </c>
      <c r="K51" s="67">
        <v>4.1460578999999997</v>
      </c>
      <c r="L51" s="73">
        <v>543.43102999999996</v>
      </c>
      <c r="M51" s="74">
        <v>3.7682046203000001</v>
      </c>
      <c r="N51" s="74">
        <v>0</v>
      </c>
      <c r="O51" s="67">
        <v>547.19923462029999</v>
      </c>
      <c r="P51" s="73">
        <v>694.61415</v>
      </c>
      <c r="Q51" s="67">
        <v>78.78</v>
      </c>
    </row>
    <row r="52" spans="1:17" ht="25.5" customHeight="1" x14ac:dyDescent="0.25">
      <c r="A52" s="46" t="s">
        <v>28</v>
      </c>
      <c r="B52" s="116">
        <v>99</v>
      </c>
      <c r="C52" s="117">
        <v>121.21</v>
      </c>
      <c r="D52" s="118">
        <v>44.911999999999999</v>
      </c>
      <c r="E52" s="116">
        <v>13141</v>
      </c>
      <c r="F52" s="117">
        <v>5729.8459999999995</v>
      </c>
      <c r="G52" s="117">
        <v>7502.2960000000003</v>
      </c>
      <c r="H52" s="112">
        <v>76.37</v>
      </c>
      <c r="I52" s="119">
        <v>4.3959999999999999</v>
      </c>
      <c r="J52" s="120">
        <v>0</v>
      </c>
      <c r="K52" s="112">
        <v>4.3959999999999999</v>
      </c>
      <c r="L52" s="119">
        <v>540.15069000000005</v>
      </c>
      <c r="M52" s="120">
        <v>3.7920695000000002</v>
      </c>
      <c r="N52" s="120">
        <v>0</v>
      </c>
      <c r="O52" s="112">
        <v>543.94275949999997</v>
      </c>
      <c r="P52" s="119">
        <v>682.61638000000005</v>
      </c>
      <c r="Q52" s="112">
        <v>79.680000000000007</v>
      </c>
    </row>
    <row r="53" spans="1:17" ht="25.5" customHeight="1" x14ac:dyDescent="0.25">
      <c r="A53" s="47" t="s">
        <v>29</v>
      </c>
      <c r="B53" s="77">
        <v>123</v>
      </c>
      <c r="C53" s="78">
        <v>162.93</v>
      </c>
      <c r="D53" s="79">
        <v>60.734000000000002</v>
      </c>
      <c r="E53" s="77">
        <v>19468</v>
      </c>
      <c r="F53" s="78">
        <v>9863.4140000000007</v>
      </c>
      <c r="G53" s="78">
        <v>10554.108</v>
      </c>
      <c r="H53" s="80">
        <v>93.46</v>
      </c>
      <c r="I53" s="81">
        <v>0.80700000000000005</v>
      </c>
      <c r="J53" s="82">
        <v>0</v>
      </c>
      <c r="K53" s="80">
        <v>0.80700000000000005</v>
      </c>
      <c r="L53" s="81">
        <v>945.11067000000003</v>
      </c>
      <c r="M53" s="82">
        <v>0.48919899999999999</v>
      </c>
      <c r="N53" s="82">
        <v>0</v>
      </c>
      <c r="O53" s="80">
        <v>945.59986900000001</v>
      </c>
      <c r="P53" s="81">
        <v>999.47400000000005</v>
      </c>
      <c r="Q53" s="80">
        <v>94.61</v>
      </c>
    </row>
    <row r="54" spans="1:17" ht="25.5" customHeight="1" x14ac:dyDescent="0.25">
      <c r="A54" s="122" t="s">
        <v>30</v>
      </c>
      <c r="B54" s="123">
        <f t="shared" ref="B54:G54" si="4">IFERROR(SUM(B42:B53),"")</f>
        <v>1173</v>
      </c>
      <c r="C54" s="123">
        <f t="shared" si="4"/>
        <v>1523.9450000000002</v>
      </c>
      <c r="D54" s="123">
        <f t="shared" si="4"/>
        <v>568.63900000000001</v>
      </c>
      <c r="E54" s="123">
        <f t="shared" si="4"/>
        <v>157474</v>
      </c>
      <c r="F54" s="123">
        <f t="shared" si="4"/>
        <v>74749.417000000001</v>
      </c>
      <c r="G54" s="123">
        <f t="shared" si="4"/>
        <v>94276.602000000014</v>
      </c>
      <c r="H54" s="124">
        <f>IFERROR(F54/G54*100,"")</f>
        <v>79.287347458704545</v>
      </c>
      <c r="I54" s="124">
        <f t="shared" ref="I54:P54" si="5">IFERROR(SUM(I42:I53),"")</f>
        <v>33.653957900000002</v>
      </c>
      <c r="J54" s="124">
        <f t="shared" si="5"/>
        <v>0</v>
      </c>
      <c r="K54" s="124">
        <f t="shared" si="5"/>
        <v>33.653957900000002</v>
      </c>
      <c r="L54" s="124">
        <f t="shared" si="5"/>
        <v>7119.3473000000004</v>
      </c>
      <c r="M54" s="124">
        <f t="shared" si="5"/>
        <v>41.242852620299999</v>
      </c>
      <c r="N54" s="124">
        <f t="shared" si="5"/>
        <v>0</v>
      </c>
      <c r="O54" s="124">
        <f t="shared" si="5"/>
        <v>7160.5901526202988</v>
      </c>
      <c r="P54" s="125">
        <f t="shared" si="5"/>
        <v>8685.2385400000003</v>
      </c>
      <c r="Q54" s="124">
        <f>IFERROR(O54/P54*100,"")</f>
        <v>82.445520864419436</v>
      </c>
    </row>
    <row r="55" spans="1:17" ht="22.5" customHeight="1" x14ac:dyDescent="0.25">
      <c r="A55" s="137" t="s">
        <v>31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</row>
    <row r="56" spans="1:17" ht="22.5" customHeight="1" x14ac:dyDescent="0.25">
      <c r="A56" s="127" t="s">
        <v>32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33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55" t="s">
        <v>43</v>
      </c>
      <c r="B58" s="156"/>
      <c r="C58" s="157" t="s">
        <v>36</v>
      </c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8" t="s">
        <v>42</v>
      </c>
      <c r="P58" s="158"/>
      <c r="Q58" s="159"/>
    </row>
    <row r="59" spans="1:17" ht="33.75" customHeight="1" x14ac:dyDescent="0.25">
      <c r="A59" s="160" t="s">
        <v>1</v>
      </c>
      <c r="B59" s="160" t="s">
        <v>2</v>
      </c>
      <c r="C59" s="160"/>
      <c r="D59" s="160"/>
      <c r="E59" s="161" t="s">
        <v>3</v>
      </c>
      <c r="F59" s="161" t="s">
        <v>4</v>
      </c>
      <c r="G59" s="161" t="s">
        <v>5</v>
      </c>
      <c r="H59" s="161" t="s">
        <v>38</v>
      </c>
      <c r="I59" s="160" t="s">
        <v>6</v>
      </c>
      <c r="J59" s="160"/>
      <c r="K59" s="160"/>
      <c r="L59" s="160" t="s">
        <v>7</v>
      </c>
      <c r="M59" s="160"/>
      <c r="N59" s="160"/>
      <c r="O59" s="160"/>
      <c r="P59" s="161" t="s">
        <v>8</v>
      </c>
      <c r="Q59" s="161" t="s">
        <v>39</v>
      </c>
    </row>
    <row r="60" spans="1:17" ht="164.25" customHeight="1" x14ac:dyDescent="0.25">
      <c r="A60" s="160"/>
      <c r="B60" s="39" t="s">
        <v>9</v>
      </c>
      <c r="C60" s="39" t="s">
        <v>10</v>
      </c>
      <c r="D60" s="39" t="s">
        <v>11</v>
      </c>
      <c r="E60" s="162"/>
      <c r="F60" s="162"/>
      <c r="G60" s="162"/>
      <c r="H60" s="162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62"/>
      <c r="Q60" s="162"/>
    </row>
    <row r="61" spans="1:17" ht="24.75" customHeight="1" x14ac:dyDescent="0.25">
      <c r="A61" s="48" t="s">
        <v>19</v>
      </c>
      <c r="B61" s="89"/>
      <c r="C61" s="90"/>
      <c r="D61" s="91"/>
      <c r="E61" s="89"/>
      <c r="F61" s="90"/>
      <c r="G61" s="90"/>
      <c r="H61" s="92"/>
      <c r="I61" s="94"/>
      <c r="J61" s="95"/>
      <c r="K61" s="95"/>
      <c r="L61" s="94"/>
      <c r="M61" s="95"/>
      <c r="N61" s="95"/>
      <c r="O61" s="92"/>
      <c r="P61" s="95"/>
      <c r="Q61" s="92"/>
    </row>
    <row r="62" spans="1:17" ht="24.75" customHeight="1" x14ac:dyDescent="0.25">
      <c r="A62" s="47" t="s">
        <v>20</v>
      </c>
      <c r="B62" s="71"/>
      <c r="C62" s="72"/>
      <c r="D62" s="76"/>
      <c r="E62" s="71"/>
      <c r="F62" s="72"/>
      <c r="G62" s="72"/>
      <c r="H62" s="67"/>
      <c r="I62" s="73"/>
      <c r="J62" s="74"/>
      <c r="K62" s="74"/>
      <c r="L62" s="73"/>
      <c r="M62" s="74"/>
      <c r="N62" s="74"/>
      <c r="O62" s="67"/>
      <c r="P62" s="74"/>
      <c r="Q62" s="67"/>
    </row>
    <row r="63" spans="1:17" ht="24.75" customHeight="1" x14ac:dyDescent="0.25">
      <c r="A63" s="48" t="s">
        <v>21</v>
      </c>
      <c r="B63" s="96"/>
      <c r="C63" s="97"/>
      <c r="D63" s="98"/>
      <c r="E63" s="96"/>
      <c r="F63" s="97"/>
      <c r="G63" s="97"/>
      <c r="H63" s="99"/>
      <c r="I63" s="100"/>
      <c r="J63" s="101"/>
      <c r="K63" s="101"/>
      <c r="L63" s="100"/>
      <c r="M63" s="101"/>
      <c r="N63" s="101"/>
      <c r="O63" s="99"/>
      <c r="P63" s="101"/>
      <c r="Q63" s="99"/>
    </row>
    <row r="64" spans="1:17" ht="24.75" customHeight="1" x14ac:dyDescent="0.25">
      <c r="A64" s="47" t="s">
        <v>22</v>
      </c>
      <c r="B64" s="71"/>
      <c r="C64" s="72"/>
      <c r="D64" s="76"/>
      <c r="E64" s="71"/>
      <c r="F64" s="72"/>
      <c r="G64" s="72"/>
      <c r="H64" s="67"/>
      <c r="I64" s="73"/>
      <c r="J64" s="74"/>
      <c r="K64" s="74"/>
      <c r="L64" s="73"/>
      <c r="M64" s="74"/>
      <c r="N64" s="74"/>
      <c r="O64" s="67"/>
      <c r="P64" s="74"/>
      <c r="Q64" s="67"/>
    </row>
    <row r="65" spans="1:17" ht="24.75" customHeight="1" x14ac:dyDescent="0.25">
      <c r="A65" s="48" t="s">
        <v>23</v>
      </c>
      <c r="B65" s="96"/>
      <c r="C65" s="97"/>
      <c r="D65" s="98"/>
      <c r="E65" s="96"/>
      <c r="F65" s="97"/>
      <c r="G65" s="97"/>
      <c r="H65" s="99"/>
      <c r="I65" s="100"/>
      <c r="J65" s="101"/>
      <c r="K65" s="101"/>
      <c r="L65" s="100"/>
      <c r="M65" s="101"/>
      <c r="N65" s="101"/>
      <c r="O65" s="99"/>
      <c r="P65" s="101"/>
      <c r="Q65" s="99"/>
    </row>
    <row r="66" spans="1:17" ht="24.75" customHeight="1" x14ac:dyDescent="0.25">
      <c r="A66" s="47" t="s">
        <v>40</v>
      </c>
      <c r="B66" s="71"/>
      <c r="C66" s="72"/>
      <c r="D66" s="76"/>
      <c r="E66" s="71"/>
      <c r="F66" s="72"/>
      <c r="G66" s="72"/>
      <c r="H66" s="67"/>
      <c r="I66" s="73"/>
      <c r="J66" s="74"/>
      <c r="K66" s="74"/>
      <c r="L66" s="73"/>
      <c r="M66" s="74"/>
      <c r="N66" s="74"/>
      <c r="O66" s="67"/>
      <c r="P66" s="74"/>
      <c r="Q66" s="67"/>
    </row>
    <row r="67" spans="1:17" ht="24.75" customHeight="1" x14ac:dyDescent="0.25">
      <c r="A67" s="48" t="s">
        <v>41</v>
      </c>
      <c r="B67" s="96">
        <v>1</v>
      </c>
      <c r="C67" s="97">
        <v>18.100000000000001</v>
      </c>
      <c r="D67" s="98">
        <v>13.298</v>
      </c>
      <c r="E67" s="96">
        <v>134</v>
      </c>
      <c r="F67" s="97">
        <v>168.036</v>
      </c>
      <c r="G67" s="97">
        <v>4547.9160000000002</v>
      </c>
      <c r="H67" s="99">
        <v>3.69</v>
      </c>
      <c r="I67" s="100">
        <v>0</v>
      </c>
      <c r="J67" s="101">
        <v>0</v>
      </c>
      <c r="K67" s="101">
        <v>0</v>
      </c>
      <c r="L67" s="100">
        <v>13.106809999999999</v>
      </c>
      <c r="M67" s="101">
        <v>0</v>
      </c>
      <c r="N67" s="101">
        <v>0</v>
      </c>
      <c r="O67" s="99">
        <v>13.106809999999999</v>
      </c>
      <c r="P67" s="101">
        <v>354.73743999999999</v>
      </c>
      <c r="Q67" s="99">
        <v>3.69</v>
      </c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>
        <v>3</v>
      </c>
      <c r="C71" s="97">
        <v>7.33</v>
      </c>
      <c r="D71" s="98">
        <v>4.4109999999999996</v>
      </c>
      <c r="E71" s="96">
        <v>157</v>
      </c>
      <c r="F71" s="97">
        <v>156.917</v>
      </c>
      <c r="G71" s="97">
        <v>793.71199999999999</v>
      </c>
      <c r="H71" s="99">
        <v>19.77</v>
      </c>
      <c r="I71" s="100">
        <v>14.8225</v>
      </c>
      <c r="J71" s="101">
        <v>0</v>
      </c>
      <c r="K71" s="101">
        <v>14.8225</v>
      </c>
      <c r="L71" s="100">
        <v>14.393879999999999</v>
      </c>
      <c r="M71" s="101">
        <v>35.351662500000003</v>
      </c>
      <c r="N71" s="101">
        <v>0</v>
      </c>
      <c r="O71" s="99">
        <v>49.745542499999999</v>
      </c>
      <c r="P71" s="101">
        <v>99.415549999999996</v>
      </c>
      <c r="Q71" s="99">
        <v>50.04</v>
      </c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4</v>
      </c>
      <c r="C73" s="87">
        <f t="shared" si="6"/>
        <v>25.43</v>
      </c>
      <c r="D73" s="87">
        <f t="shared" si="6"/>
        <v>17.709</v>
      </c>
      <c r="E73" s="87">
        <f t="shared" si="6"/>
        <v>291</v>
      </c>
      <c r="F73" s="87">
        <f t="shared" si="6"/>
        <v>324.95299999999997</v>
      </c>
      <c r="G73" s="87">
        <f t="shared" si="6"/>
        <v>5341.6280000000006</v>
      </c>
      <c r="H73" s="88">
        <f>IFERROR(F73/G73*100,"")</f>
        <v>6.0834075304382846</v>
      </c>
      <c r="I73" s="88">
        <f t="shared" ref="I73:P73" si="7">IFERROR(SUM(I61:I72),"")</f>
        <v>14.8225</v>
      </c>
      <c r="J73" s="88">
        <f t="shared" si="7"/>
        <v>0</v>
      </c>
      <c r="K73" s="88">
        <f t="shared" si="7"/>
        <v>14.8225</v>
      </c>
      <c r="L73" s="88">
        <f t="shared" si="7"/>
        <v>27.500689999999999</v>
      </c>
      <c r="M73" s="88">
        <f t="shared" si="7"/>
        <v>35.351662500000003</v>
      </c>
      <c r="N73" s="88">
        <f t="shared" si="7"/>
        <v>0</v>
      </c>
      <c r="O73" s="88">
        <f t="shared" si="7"/>
        <v>62.852352499999995</v>
      </c>
      <c r="P73" s="88">
        <f t="shared" si="7"/>
        <v>454.15298999999999</v>
      </c>
      <c r="Q73" s="88">
        <f>IFERROR(O73/P73*100,"")</f>
        <v>13.839466850146687</v>
      </c>
    </row>
    <row r="74" spans="1:17" ht="15.75" x14ac:dyDescent="0.25">
      <c r="A74" s="137" t="s">
        <v>31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</row>
    <row r="75" spans="1:17" ht="15.75" x14ac:dyDescent="0.25">
      <c r="A75" s="127" t="s">
        <v>32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33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37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2026-02-05T09:08:25Z</dcterms:modified>
</cp:coreProperties>
</file>