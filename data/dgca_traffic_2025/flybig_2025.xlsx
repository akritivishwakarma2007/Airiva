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November 2025\Excel November 2025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Q73" i="1" l="1"/>
  <c r="P73" i="1"/>
  <c r="O73" i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<sst xmlns="http://schemas.openxmlformats.org/spreadsheetml/2006/main" count="157" uniqueCount="44">
  <si>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</si>
  <si>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</si>
  <si>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</si>
  <si>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</si>
  <si>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</si>
  <si>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</si>
  <si>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</si>
  <si>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</si>
  <si>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</si>
  <si>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</si>
  <si>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</si>
  <si>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</si>
  <si>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</si>
  <si>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</si>
  <si>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</si>
  <si>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</si>
  <si>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</si>
  <si>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</si>
  <si>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</si>
  <si>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</si>
  <si>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</si>
  <si>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</si>
  <si>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</si>
  <si>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</si>
  <si>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</si>
  <si>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</si>
  <si>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</si>
  <si>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</si>
  <si>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</si>
  <si>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</si>
  <si>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</si>
  <si>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</si>
  <si>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</si>
  <si>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</si>
  <si>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</si>
  <si>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</si>
  <si>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</si>
  <si>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</si>
  <si>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</si>
  <si>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</si>
  <si>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</si>
  <si>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FLYBIG</t>
  </si>
  <si>
    <t>2025</t>
  </si>
  <si>
    <t>SOURCE:-ICAO ATR FORM A FURNISHED BY FLYBIG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</si>
</sst>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52" transitionEvaluation="1" transitionEntry="1"/>
  <dimension ref="A1:Q494"/>
  <sheetViews>
    <sheetView showGridLines="0" tabSelected="1" view="pageBreakPreview" topLeftCell="A52" zoomScale="70" zoomScaleNormal="85" zoomScaleSheetLayoutView="70" workbookViewId="0">
      <selection activeCell="A19" sqref="A19:Q19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8" t="s">
        <v>42</v>
      </c>
      <c r="B1" s="129"/>
      <c r="C1" s="130" t="s">
        <v>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1" t="s">
        <v>41</v>
      </c>
      <c r="P1" s="131"/>
      <c r="Q1" s="132"/>
    </row>
    <row r="2" spans="1:17" ht="49.5" customHeight="1" x14ac:dyDescent="0.25">
      <c r="A2" s="133" t="s">
        <v>1</v>
      </c>
      <c r="B2" s="135" t="s">
        <v>2</v>
      </c>
      <c r="C2" s="135"/>
      <c r="D2" s="135"/>
      <c r="E2" s="136" t="s">
        <v>3</v>
      </c>
      <c r="F2" s="136" t="s">
        <v>4</v>
      </c>
      <c r="G2" s="136" t="s">
        <v>5</v>
      </c>
      <c r="H2" s="136" t="s">
        <v>37</v>
      </c>
      <c r="I2" s="135" t="s">
        <v>6</v>
      </c>
      <c r="J2" s="135"/>
      <c r="K2" s="135"/>
      <c r="L2" s="135" t="s">
        <v>7</v>
      </c>
      <c r="M2" s="135"/>
      <c r="N2" s="135"/>
      <c r="O2" s="135"/>
      <c r="P2" s="136" t="s">
        <v>8</v>
      </c>
      <c r="Q2" s="136" t="s">
        <v>38</v>
      </c>
    </row>
    <row r="3" spans="1:17" ht="155.25" customHeight="1" x14ac:dyDescent="0.25">
      <c r="A3" s="134"/>
      <c r="B3" s="42" t="s">
        <v>9</v>
      </c>
      <c r="C3" s="42" t="s">
        <v>10</v>
      </c>
      <c r="D3" s="42" t="s">
        <v>11</v>
      </c>
      <c r="E3" s="136"/>
      <c r="F3" s="136"/>
      <c r="G3" s="136"/>
      <c r="H3" s="136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6"/>
      <c r="Q3" s="136"/>
    </row>
    <row r="4" spans="1:17" ht="23.1" customHeight="1" x14ac:dyDescent="0.25">
      <c r="A4" s="20" t="s">
        <v>19</v>
      </c>
      <c r="B4" s="21">
        <v>269</v>
      </c>
      <c r="C4" s="21">
        <v>346.58333333333297</v>
      </c>
      <c r="D4" s="22">
        <v>63.811999999999998</v>
      </c>
      <c r="E4" s="23">
        <v>1050</v>
      </c>
      <c r="F4" s="21">
        <v>275</v>
      </c>
      <c r="G4" s="21">
        <v>1212</v>
      </c>
      <c r="H4" s="25">
        <v>22.69</v>
      </c>
      <c r="I4" s="26">
        <v>0</v>
      </c>
      <c r="J4" s="27">
        <v>0</v>
      </c>
      <c r="K4" s="25">
        <v>0</v>
      </c>
      <c r="L4" s="26">
        <v>20.620725</v>
      </c>
      <c r="M4" s="27">
        <v>0</v>
      </c>
      <c r="N4" s="27">
        <v>0</v>
      </c>
      <c r="O4" s="25">
        <v>20.620725</v>
      </c>
      <c r="P4" s="27">
        <v>382.87</v>
      </c>
      <c r="Q4" s="25">
        <v>5.39</v>
      </c>
    </row>
    <row r="5" spans="1:17" ht="23.1" customHeight="1" x14ac:dyDescent="0.25">
      <c r="A5" s="43" t="s">
        <v>20</v>
      </c>
      <c r="B5" s="64">
        <v>157</v>
      </c>
      <c r="C5" s="64">
        <v>196.58330000000001</v>
      </c>
      <c r="D5" s="53">
        <v>34.883000000000003</v>
      </c>
      <c r="E5" s="75">
        <v>707</v>
      </c>
      <c r="F5" s="64">
        <v>179.96600000000001</v>
      </c>
      <c r="G5" s="64">
        <v>662.77700000000004</v>
      </c>
      <c r="H5" s="84">
        <v>27.15</v>
      </c>
      <c r="I5" s="93">
        <v>0</v>
      </c>
      <c r="J5" s="102">
        <v>0</v>
      </c>
      <c r="K5" s="84">
        <v>0</v>
      </c>
      <c r="L5" s="93">
        <v>13.497450000000001</v>
      </c>
      <c r="M5" s="102">
        <v>0</v>
      </c>
      <c r="N5" s="102">
        <v>0</v>
      </c>
      <c r="O5" s="84">
        <v>13.497450000000001</v>
      </c>
      <c r="P5" s="102">
        <v>209.298</v>
      </c>
      <c r="Q5" s="84">
        <v>6.45</v>
      </c>
    </row>
    <row r="6" spans="1:17" ht="23.1" customHeight="1" x14ac:dyDescent="0.25">
      <c r="A6" s="45" t="s">
        <v>21</v>
      </c>
      <c r="B6" s="29">
        <v>229</v>
      </c>
      <c r="C6" s="29">
        <v>283</v>
      </c>
      <c r="D6" s="28">
        <v>55.113</v>
      </c>
      <c r="E6" s="30">
        <v>1161</v>
      </c>
      <c r="F6" s="29">
        <v>276.70499999999998</v>
      </c>
      <c r="G6" s="29">
        <v>1047.1469999999999</v>
      </c>
      <c r="H6" s="31">
        <v>26.42</v>
      </c>
      <c r="I6" s="32">
        <v>0</v>
      </c>
      <c r="J6" s="33">
        <v>0</v>
      </c>
      <c r="K6" s="31">
        <v>0</v>
      </c>
      <c r="L6" s="32">
        <v>20.752875</v>
      </c>
      <c r="M6" s="33">
        <v>0</v>
      </c>
      <c r="N6" s="33">
        <v>0</v>
      </c>
      <c r="O6" s="31">
        <v>20.752875</v>
      </c>
      <c r="P6" s="33">
        <v>330.678</v>
      </c>
      <c r="Q6" s="31">
        <v>6.28</v>
      </c>
    </row>
    <row r="7" spans="1:17" ht="23.1" customHeight="1" x14ac:dyDescent="0.25">
      <c r="A7" s="43" t="s">
        <v>22</v>
      </c>
      <c r="B7" s="64">
        <v>237</v>
      </c>
      <c r="C7" s="64">
        <v>302.41666666666703</v>
      </c>
      <c r="D7" s="53">
        <v>60.008000000000003</v>
      </c>
      <c r="E7" s="75">
        <v>1415</v>
      </c>
      <c r="F7" s="64">
        <v>344.86399999999998</v>
      </c>
      <c r="G7" s="64">
        <v>1140.152</v>
      </c>
      <c r="H7" s="84">
        <v>30.25</v>
      </c>
      <c r="I7" s="93">
        <v>0</v>
      </c>
      <c r="J7" s="102">
        <v>0</v>
      </c>
      <c r="K7" s="84">
        <v>0</v>
      </c>
      <c r="L7" s="93">
        <v>25.864799999999999</v>
      </c>
      <c r="M7" s="102">
        <v>0</v>
      </c>
      <c r="N7" s="102">
        <v>0</v>
      </c>
      <c r="O7" s="84">
        <v>25.864799999999999</v>
      </c>
      <c r="P7" s="102">
        <v>360.048</v>
      </c>
      <c r="Q7" s="84">
        <v>7.18</v>
      </c>
    </row>
    <row r="8" spans="1:17" ht="30" customHeight="1" x14ac:dyDescent="0.25">
      <c r="A8" s="45" t="s">
        <v>23</v>
      </c>
      <c r="B8" s="29">
        <v>313</v>
      </c>
      <c r="C8" s="29">
        <v>406</v>
      </c>
      <c r="D8" s="28">
        <v>81.989000000000004</v>
      </c>
      <c r="E8" s="30">
        <v>1864</v>
      </c>
      <c r="F8" s="29">
        <v>444.81900000000002</v>
      </c>
      <c r="G8" s="29">
        <v>1557.7909999999999</v>
      </c>
      <c r="H8" s="31">
        <v>28.55</v>
      </c>
      <c r="I8" s="32">
        <v>0</v>
      </c>
      <c r="J8" s="33">
        <v>0</v>
      </c>
      <c r="K8" s="31">
        <v>0</v>
      </c>
      <c r="L8" s="32">
        <v>33.361424999999997</v>
      </c>
      <c r="M8" s="33">
        <v>0</v>
      </c>
      <c r="N8" s="33">
        <v>0</v>
      </c>
      <c r="O8" s="31">
        <v>33.361424999999997</v>
      </c>
      <c r="P8" s="33">
        <v>491.93400000000003</v>
      </c>
      <c r="Q8" s="31">
        <v>6.78</v>
      </c>
    </row>
    <row r="9" spans="1:17" ht="23.1" customHeight="1" x14ac:dyDescent="0.25">
      <c r="A9" s="43" t="s">
        <v>39</v>
      </c>
      <c r="B9" s="64">
        <v>269</v>
      </c>
      <c r="C9" s="64">
        <v>348.91666666666703</v>
      </c>
      <c r="D9" s="53">
        <v>73.864000000000004</v>
      </c>
      <c r="E9" s="75">
        <v>1186</v>
      </c>
      <c r="F9" s="64">
        <v>305.55500000000001</v>
      </c>
      <c r="G9" s="64">
        <v>1403.4159999999999</v>
      </c>
      <c r="H9" s="84">
        <v>21.77</v>
      </c>
      <c r="I9" s="93">
        <v>0</v>
      </c>
      <c r="J9" s="102">
        <v>0</v>
      </c>
      <c r="K9" s="84">
        <v>0</v>
      </c>
      <c r="L9" s="93">
        <v>22.916625</v>
      </c>
      <c r="M9" s="102">
        <v>0</v>
      </c>
      <c r="N9" s="102">
        <v>0</v>
      </c>
      <c r="O9" s="84">
        <v>22.916625</v>
      </c>
      <c r="P9" s="102">
        <v>443.18400000000003</v>
      </c>
      <c r="Q9" s="84">
        <v>5.17</v>
      </c>
    </row>
    <row r="10" spans="1:17" ht="23.1" customHeight="1" x14ac:dyDescent="0.25">
      <c r="A10" s="45" t="s">
        <v>24</v>
      </c>
      <c r="B10" s="29">
        <v>257</v>
      </c>
      <c r="C10" s="29">
        <v>337.83333333333297</v>
      </c>
      <c r="D10" s="28">
        <v>69.19</v>
      </c>
      <c r="E10" s="30">
        <v>928</v>
      </c>
      <c r="F10" s="29">
        <v>255.95</v>
      </c>
      <c r="G10" s="29">
        <v>1314.61</v>
      </c>
      <c r="H10" s="31">
        <v>19.47</v>
      </c>
      <c r="I10" s="32">
        <v>0</v>
      </c>
      <c r="J10" s="33">
        <v>0</v>
      </c>
      <c r="K10" s="31">
        <v>0</v>
      </c>
      <c r="L10" s="32">
        <v>19.196249999999999</v>
      </c>
      <c r="M10" s="33">
        <v>0</v>
      </c>
      <c r="N10" s="33">
        <v>0</v>
      </c>
      <c r="O10" s="31">
        <v>19.196249999999999</v>
      </c>
      <c r="P10" s="33">
        <v>415.14</v>
      </c>
      <c r="Q10" s="31">
        <v>4.62</v>
      </c>
    </row>
    <row r="11" spans="1:17" ht="23.1" customHeight="1" x14ac:dyDescent="0.25">
      <c r="A11" s="43" t="s">
        <v>25</v>
      </c>
      <c r="B11" s="64">
        <v>198</v>
      </c>
      <c r="C11" s="64">
        <v>257.16666666666703</v>
      </c>
      <c r="D11" s="53">
        <v>54.713999999999999</v>
      </c>
      <c r="E11" s="75">
        <v>990</v>
      </c>
      <c r="F11" s="64">
        <v>278.25</v>
      </c>
      <c r="G11" s="64">
        <v>1039.566</v>
      </c>
      <c r="H11" s="84">
        <v>26.77</v>
      </c>
      <c r="I11" s="93">
        <v>0</v>
      </c>
      <c r="J11" s="102">
        <v>0</v>
      </c>
      <c r="K11" s="84">
        <v>0</v>
      </c>
      <c r="L11" s="93">
        <v>20.869050000000001</v>
      </c>
      <c r="M11" s="102">
        <v>0</v>
      </c>
      <c r="N11" s="102">
        <v>0</v>
      </c>
      <c r="O11" s="84">
        <v>20.869050000000001</v>
      </c>
      <c r="P11" s="102">
        <v>328.28399999999999</v>
      </c>
      <c r="Q11" s="84">
        <v>6.36</v>
      </c>
    </row>
    <row r="12" spans="1:17" ht="23.1" customHeight="1" x14ac:dyDescent="0.25">
      <c r="A12" s="45" t="s">
        <v>26</v>
      </c>
      <c r="B12" s="29">
        <v>163</v>
      </c>
      <c r="C12" s="29">
        <v>229.583333333333</v>
      </c>
      <c r="D12" s="28">
        <v>49.372999999999998</v>
      </c>
      <c r="E12" s="30">
        <v>610</v>
      </c>
      <c r="F12" s="29">
        <v>188.29499999999999</v>
      </c>
      <c r="G12" s="29">
        <v>938.08699999999999</v>
      </c>
      <c r="H12" s="31">
        <v>20.07</v>
      </c>
      <c r="I12" s="32">
        <v>0</v>
      </c>
      <c r="J12" s="33">
        <v>0</v>
      </c>
      <c r="K12" s="31">
        <v>0</v>
      </c>
      <c r="L12" s="32">
        <v>14.122125</v>
      </c>
      <c r="M12" s="33">
        <v>0</v>
      </c>
      <c r="N12" s="33">
        <v>0</v>
      </c>
      <c r="O12" s="31">
        <v>14.122125</v>
      </c>
      <c r="P12" s="33">
        <v>296.238</v>
      </c>
      <c r="Q12" s="31">
        <v>4.7699999999999996</v>
      </c>
    </row>
    <row r="13" spans="1:17" ht="23.1" customHeight="1" x14ac:dyDescent="0.25">
      <c r="A13" s="43" t="s">
        <v>27</v>
      </c>
      <c r="B13" s="64">
        <v>78</v>
      </c>
      <c r="C13" s="64">
        <v>122.5</v>
      </c>
      <c r="D13" s="53">
        <v>26.968</v>
      </c>
      <c r="E13" s="75">
        <v>275</v>
      </c>
      <c r="F13" s="64">
        <v>109.92100000000001</v>
      </c>
      <c r="G13" s="64">
        <v>512.39200000000005</v>
      </c>
      <c r="H13" s="84">
        <v>21.45</v>
      </c>
      <c r="I13" s="93">
        <v>0</v>
      </c>
      <c r="J13" s="102">
        <v>0</v>
      </c>
      <c r="K13" s="84">
        <v>0</v>
      </c>
      <c r="L13" s="93">
        <v>8.2440999999999995</v>
      </c>
      <c r="M13" s="102">
        <v>0</v>
      </c>
      <c r="N13" s="102">
        <v>0</v>
      </c>
      <c r="O13" s="84">
        <v>8.2440999999999995</v>
      </c>
      <c r="P13" s="102">
        <v>161.80799999999999</v>
      </c>
      <c r="Q13" s="84">
        <v>5.09</v>
      </c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21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2"/>
      <c r="Q15" s="84"/>
    </row>
    <row r="16" spans="1:17" ht="23.1" customHeight="1" x14ac:dyDescent="0.25">
      <c r="A16" s="34" t="s">
        <v>30</v>
      </c>
      <c r="B16" s="36">
        <f t="shared" ref="B16:G16" si="0">IFERROR(SUM(B4:B15),"")</f>
        <v>2170</v>
      </c>
      <c r="C16" s="36">
        <f t="shared" si="0"/>
        <v>2830.5832999999998</v>
      </c>
      <c r="D16" s="36">
        <f t="shared" si="0"/>
        <v>569.91399999999999</v>
      </c>
      <c r="E16" s="36">
        <f t="shared" si="0"/>
        <v>10186</v>
      </c>
      <c r="F16" s="36">
        <f t="shared" si="0"/>
        <v>2659.3249999999998</v>
      </c>
      <c r="G16" s="36">
        <f t="shared" si="0"/>
        <v>10827.938</v>
      </c>
      <c r="H16" s="37">
        <f>IFERROR(F16/G16*100,"")</f>
        <v>24.559846944081134</v>
      </c>
      <c r="I16" s="37">
        <f t="shared" ref="I16:P16" si="1">IFERROR(SUM(I4:I15),"")</f>
        <v>0</v>
      </c>
      <c r="J16" s="37">
        <f t="shared" si="1"/>
        <v>0</v>
      </c>
      <c r="K16" s="37">
        <f t="shared" si="1"/>
        <v>0</v>
      </c>
      <c r="L16" s="37">
        <f t="shared" si="1"/>
        <v>199.44542500000003</v>
      </c>
      <c r="M16" s="37">
        <f t="shared" si="1"/>
        <v>0</v>
      </c>
      <c r="N16" s="37">
        <f t="shared" si="1"/>
        <v>0</v>
      </c>
      <c r="O16" s="37">
        <f t="shared" si="1"/>
        <v>199.44542500000003</v>
      </c>
      <c r="P16" s="38">
        <f t="shared" si="1"/>
        <v>3419.482</v>
      </c>
      <c r="Q16" s="38">
        <f>IFERROR(O16/P16*100,"")</f>
        <v>5.832620993472112</v>
      </c>
    </row>
    <row r="17" spans="1:17" ht="20.100000000000001" customHeight="1" x14ac:dyDescent="0.25">
      <c r="A17" s="137" t="s">
        <v>43</v>
      </c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</row>
    <row r="18" spans="1:17" ht="15.75" x14ac:dyDescent="0.25">
      <c r="A18" s="127" t="s">
        <v>31</v>
      </c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</row>
    <row r="19" spans="1:17" ht="15.75" x14ac:dyDescent="0.25">
      <c r="A19" s="127" t="s">
        <v>32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</row>
    <row r="20" spans="1:17" ht="51.75" customHeight="1" x14ac:dyDescent="0.25">
      <c r="A20" s="139" t="s">
        <v>42</v>
      </c>
      <c r="B20" s="140"/>
      <c r="C20" s="141" t="s">
        <v>33</v>
      </c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2" t="s">
        <v>41</v>
      </c>
      <c r="P20" s="142"/>
      <c r="Q20" s="143"/>
    </row>
    <row r="21" spans="1:17" ht="51" customHeight="1" x14ac:dyDescent="0.25">
      <c r="A21" s="144" t="s">
        <v>1</v>
      </c>
      <c r="B21" s="144" t="s">
        <v>2</v>
      </c>
      <c r="C21" s="144"/>
      <c r="D21" s="144"/>
      <c r="E21" s="145" t="s">
        <v>3</v>
      </c>
      <c r="F21" s="145" t="s">
        <v>4</v>
      </c>
      <c r="G21" s="145" t="s">
        <v>5</v>
      </c>
      <c r="H21" s="145" t="s">
        <v>37</v>
      </c>
      <c r="I21" s="144" t="s">
        <v>6</v>
      </c>
      <c r="J21" s="144"/>
      <c r="K21" s="144"/>
      <c r="L21" s="144" t="s">
        <v>7</v>
      </c>
      <c r="M21" s="144"/>
      <c r="N21" s="144"/>
      <c r="O21" s="144"/>
      <c r="P21" s="145" t="s">
        <v>8</v>
      </c>
      <c r="Q21" s="145" t="s">
        <v>38</v>
      </c>
    </row>
    <row r="22" spans="1:17" ht="150.75" customHeight="1" x14ac:dyDescent="0.25">
      <c r="A22" s="144"/>
      <c r="B22" s="19" t="s">
        <v>9</v>
      </c>
      <c r="C22" s="19" t="s">
        <v>10</v>
      </c>
      <c r="D22" s="19" t="s">
        <v>11</v>
      </c>
      <c r="E22" s="145"/>
      <c r="F22" s="145"/>
      <c r="G22" s="145"/>
      <c r="H22" s="145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6"/>
      <c r="Q22" s="146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6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7" t="s">
        <v>43</v>
      </c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</row>
    <row r="37" spans="1:17" ht="15.75" x14ac:dyDescent="0.25">
      <c r="A37" s="127" t="s">
        <v>31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</row>
    <row r="38" spans="1:17" ht="15.75" x14ac:dyDescent="0.25">
      <c r="A38" s="127" t="s">
        <v>32</v>
      </c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</row>
    <row r="39" spans="1:17" ht="40.5" customHeight="1" x14ac:dyDescent="0.25">
      <c r="A39" s="147" t="s">
        <v>42</v>
      </c>
      <c r="B39" s="148"/>
      <c r="C39" s="149" t="s">
        <v>34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41</v>
      </c>
      <c r="P39" s="150"/>
      <c r="Q39" s="151"/>
    </row>
    <row r="40" spans="1:17" ht="39.75" customHeight="1" x14ac:dyDescent="0.25">
      <c r="A40" s="152" t="s">
        <v>1</v>
      </c>
      <c r="B40" s="152" t="s">
        <v>2</v>
      </c>
      <c r="C40" s="152"/>
      <c r="D40" s="152"/>
      <c r="E40" s="153" t="s">
        <v>3</v>
      </c>
      <c r="F40" s="153" t="s">
        <v>4</v>
      </c>
      <c r="G40" s="153" t="s">
        <v>5</v>
      </c>
      <c r="H40" s="153" t="s">
        <v>37</v>
      </c>
      <c r="I40" s="152" t="s">
        <v>6</v>
      </c>
      <c r="J40" s="152"/>
      <c r="K40" s="152"/>
      <c r="L40" s="152" t="s">
        <v>7</v>
      </c>
      <c r="M40" s="152"/>
      <c r="N40" s="152"/>
      <c r="O40" s="152"/>
      <c r="P40" s="153" t="s">
        <v>8</v>
      </c>
      <c r="Q40" s="153" t="s">
        <v>38</v>
      </c>
    </row>
    <row r="41" spans="1:17" ht="178.5" customHeight="1" x14ac:dyDescent="0.25">
      <c r="A41" s="152"/>
      <c r="B41" s="40" t="s">
        <v>9</v>
      </c>
      <c r="C41" s="40" t="s">
        <v>10</v>
      </c>
      <c r="D41" s="40" t="s">
        <v>11</v>
      </c>
      <c r="E41" s="154"/>
      <c r="F41" s="154"/>
      <c r="G41" s="154"/>
      <c r="H41" s="154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4"/>
      <c r="Q41" s="154"/>
    </row>
    <row r="42" spans="1:17" ht="25.5" customHeight="1" x14ac:dyDescent="0.25">
      <c r="A42" s="46" t="s">
        <v>19</v>
      </c>
      <c r="B42" s="103"/>
      <c r="C42" s="104"/>
      <c r="D42" s="105"/>
      <c r="E42" s="103"/>
      <c r="F42" s="104"/>
      <c r="G42" s="104"/>
      <c r="H42" s="106"/>
      <c r="I42" s="107"/>
      <c r="J42" s="108"/>
      <c r="K42" s="106"/>
      <c r="L42" s="107"/>
      <c r="M42" s="108"/>
      <c r="N42" s="108"/>
      <c r="O42" s="106"/>
      <c r="P42" s="107"/>
      <c r="Q42" s="106"/>
    </row>
    <row r="43" spans="1:17" ht="25.5" customHeight="1" x14ac:dyDescent="0.25">
      <c r="A43" s="47" t="s">
        <v>20</v>
      </c>
      <c r="B43" s="63"/>
      <c r="C43" s="65"/>
      <c r="D43" s="66"/>
      <c r="E43" s="63"/>
      <c r="F43" s="65"/>
      <c r="G43" s="65"/>
      <c r="H43" s="67"/>
      <c r="I43" s="68"/>
      <c r="J43" s="69"/>
      <c r="K43" s="67"/>
      <c r="L43" s="68"/>
      <c r="M43" s="69"/>
      <c r="N43" s="69"/>
      <c r="O43" s="67"/>
      <c r="P43" s="68"/>
      <c r="Q43" s="67"/>
    </row>
    <row r="44" spans="1:17" ht="25.5" customHeight="1" x14ac:dyDescent="0.25">
      <c r="A44" s="46" t="s">
        <v>21</v>
      </c>
      <c r="B44" s="109"/>
      <c r="C44" s="110"/>
      <c r="D44" s="111"/>
      <c r="E44" s="109"/>
      <c r="F44" s="110"/>
      <c r="G44" s="110"/>
      <c r="H44" s="112"/>
      <c r="I44" s="113"/>
      <c r="J44" s="114"/>
      <c r="K44" s="112"/>
      <c r="L44" s="113"/>
      <c r="M44" s="114"/>
      <c r="N44" s="114"/>
      <c r="O44" s="112"/>
      <c r="P44" s="113"/>
      <c r="Q44" s="112"/>
    </row>
    <row r="45" spans="1:17" ht="25.5" customHeight="1" x14ac:dyDescent="0.25">
      <c r="A45" s="47" t="s">
        <v>22</v>
      </c>
      <c r="B45" s="63"/>
      <c r="C45" s="70"/>
      <c r="D45" s="66"/>
      <c r="E45" s="63"/>
      <c r="F45" s="65"/>
      <c r="G45" s="65"/>
      <c r="H45" s="67"/>
      <c r="I45" s="68"/>
      <c r="J45" s="69"/>
      <c r="K45" s="67"/>
      <c r="L45" s="68"/>
      <c r="M45" s="69"/>
      <c r="N45" s="69"/>
      <c r="O45" s="67"/>
      <c r="P45" s="68"/>
      <c r="Q45" s="67"/>
    </row>
    <row r="46" spans="1:17" ht="25.5" customHeight="1" x14ac:dyDescent="0.25">
      <c r="A46" s="46" t="s">
        <v>23</v>
      </c>
      <c r="B46" s="109"/>
      <c r="C46" s="115"/>
      <c r="D46" s="111"/>
      <c r="E46" s="109"/>
      <c r="F46" s="110"/>
      <c r="G46" s="110"/>
      <c r="H46" s="112"/>
      <c r="I46" s="113"/>
      <c r="J46" s="114"/>
      <c r="K46" s="112"/>
      <c r="L46" s="113"/>
      <c r="M46" s="114"/>
      <c r="N46" s="114"/>
      <c r="O46" s="112"/>
      <c r="P46" s="113"/>
      <c r="Q46" s="112"/>
    </row>
    <row r="47" spans="1:17" ht="25.5" customHeight="1" x14ac:dyDescent="0.25">
      <c r="A47" s="47" t="s">
        <v>39</v>
      </c>
      <c r="B47" s="71"/>
      <c r="C47" s="72"/>
      <c r="D47" s="66"/>
      <c r="E47" s="71"/>
      <c r="F47" s="72"/>
      <c r="G47" s="72"/>
      <c r="H47" s="67"/>
      <c r="I47" s="73"/>
      <c r="J47" s="74"/>
      <c r="K47" s="67"/>
      <c r="L47" s="73"/>
      <c r="M47" s="74"/>
      <c r="N47" s="74"/>
      <c r="O47" s="67"/>
      <c r="P47" s="73"/>
      <c r="Q47" s="67"/>
    </row>
    <row r="48" spans="1:17" ht="25.5" customHeight="1" x14ac:dyDescent="0.25">
      <c r="A48" s="46" t="s">
        <v>40</v>
      </c>
      <c r="B48" s="116"/>
      <c r="C48" s="117"/>
      <c r="D48" s="118"/>
      <c r="E48" s="116"/>
      <c r="F48" s="117"/>
      <c r="G48" s="117"/>
      <c r="H48" s="112"/>
      <c r="I48" s="119"/>
      <c r="J48" s="120"/>
      <c r="K48" s="112"/>
      <c r="L48" s="119"/>
      <c r="M48" s="120"/>
      <c r="N48" s="120"/>
      <c r="O48" s="112"/>
      <c r="P48" s="119"/>
      <c r="Q48" s="112"/>
    </row>
    <row r="49" spans="1:17" ht="25.5" customHeight="1" x14ac:dyDescent="0.25">
      <c r="A49" s="47" t="s">
        <v>25</v>
      </c>
      <c r="B49" s="71"/>
      <c r="C49" s="72"/>
      <c r="D49" s="76"/>
      <c r="E49" s="71"/>
      <c r="F49" s="72"/>
      <c r="G49" s="72"/>
      <c r="H49" s="67"/>
      <c r="I49" s="73"/>
      <c r="J49" s="74"/>
      <c r="K49" s="67"/>
      <c r="L49" s="73"/>
      <c r="M49" s="74"/>
      <c r="N49" s="74"/>
      <c r="O49" s="67"/>
      <c r="P49" s="73"/>
      <c r="Q49" s="67"/>
    </row>
    <row r="50" spans="1:17" ht="25.5" customHeight="1" x14ac:dyDescent="0.25">
      <c r="A50" s="46" t="s">
        <v>26</v>
      </c>
      <c r="B50" s="116"/>
      <c r="C50" s="117"/>
      <c r="D50" s="118"/>
      <c r="E50" s="116"/>
      <c r="F50" s="117"/>
      <c r="G50" s="117"/>
      <c r="H50" s="112"/>
      <c r="I50" s="119"/>
      <c r="J50" s="120"/>
      <c r="K50" s="112"/>
      <c r="L50" s="119"/>
      <c r="M50" s="120"/>
      <c r="N50" s="120"/>
      <c r="O50" s="112"/>
      <c r="P50" s="119"/>
      <c r="Q50" s="112"/>
    </row>
    <row r="51" spans="1:17" ht="25.5" customHeight="1" x14ac:dyDescent="0.25">
      <c r="A51" s="47" t="s">
        <v>27</v>
      </c>
      <c r="B51" s="71"/>
      <c r="C51" s="72"/>
      <c r="D51" s="76"/>
      <c r="E51" s="71"/>
      <c r="F51" s="72"/>
      <c r="G51" s="72"/>
      <c r="H51" s="67"/>
      <c r="I51" s="73"/>
      <c r="J51" s="74"/>
      <c r="K51" s="67"/>
      <c r="L51" s="73"/>
      <c r="M51" s="74"/>
      <c r="N51" s="74"/>
      <c r="O51" s="67"/>
      <c r="P51" s="73"/>
      <c r="Q51" s="67"/>
    </row>
    <row r="52" spans="1:17" ht="25.5" customHeight="1" x14ac:dyDescent="0.25">
      <c r="A52" s="46" t="s">
        <v>28</v>
      </c>
      <c r="B52" s="116"/>
      <c r="C52" s="117"/>
      <c r="D52" s="118"/>
      <c r="E52" s="116"/>
      <c r="F52" s="117"/>
      <c r="G52" s="117"/>
      <c r="H52" s="112"/>
      <c r="I52" s="119"/>
      <c r="J52" s="120"/>
      <c r="K52" s="112"/>
      <c r="L52" s="119"/>
      <c r="M52" s="120"/>
      <c r="N52" s="120"/>
      <c r="O52" s="112"/>
      <c r="P52" s="119"/>
      <c r="Q52" s="112"/>
    </row>
    <row r="53" spans="1:17" ht="25.5" customHeight="1" x14ac:dyDescent="0.25">
      <c r="A53" s="47" t="s">
        <v>29</v>
      </c>
      <c r="B53" s="77"/>
      <c r="C53" s="78"/>
      <c r="D53" s="79"/>
      <c r="E53" s="77"/>
      <c r="F53" s="78"/>
      <c r="G53" s="78"/>
      <c r="H53" s="80"/>
      <c r="I53" s="81"/>
      <c r="J53" s="82"/>
      <c r="K53" s="80"/>
      <c r="L53" s="81"/>
      <c r="M53" s="82"/>
      <c r="N53" s="82"/>
      <c r="O53" s="80"/>
      <c r="P53" s="81"/>
      <c r="Q53" s="80"/>
    </row>
    <row r="54" spans="1:17" ht="25.5" customHeight="1" x14ac:dyDescent="0.25">
      <c r="A54" s="122" t="s">
        <v>30</v>
      </c>
      <c r="B54" s="123">
        <f t="shared" ref="B54:G54" si="4">IFERROR(SUM(B42:B53),"")</f>
        <v>0</v>
      </c>
      <c r="C54" s="123">
        <f t="shared" si="4"/>
        <v>0</v>
      </c>
      <c r="D54" s="123">
        <f t="shared" si="4"/>
        <v>0</v>
      </c>
      <c r="E54" s="123">
        <f t="shared" si="4"/>
        <v>0</v>
      </c>
      <c r="F54" s="123">
        <f t="shared" si="4"/>
        <v>0</v>
      </c>
      <c r="G54" s="123">
        <f t="shared" si="4"/>
        <v>0</v>
      </c>
      <c r="H54" s="124" t="str">
        <f>IFERROR(F54/G54*100,"")</f>
        <v/>
      </c>
      <c r="I54" s="124">
        <f t="shared" ref="I54:P54" si="5">IFERROR(SUM(I42:I53),"")</f>
        <v>0</v>
      </c>
      <c r="J54" s="124">
        <f t="shared" si="5"/>
        <v>0</v>
      </c>
      <c r="K54" s="124">
        <f t="shared" si="5"/>
        <v>0</v>
      </c>
      <c r="L54" s="124">
        <f t="shared" si="5"/>
        <v>0</v>
      </c>
      <c r="M54" s="124">
        <f t="shared" si="5"/>
        <v>0</v>
      </c>
      <c r="N54" s="124">
        <f t="shared" si="5"/>
        <v>0</v>
      </c>
      <c r="O54" s="124">
        <f t="shared" si="5"/>
        <v>0</v>
      </c>
      <c r="P54" s="125">
        <f t="shared" si="5"/>
        <v>0</v>
      </c>
      <c r="Q54" s="124" t="str">
        <f>IFERROR(O54/P54*100,"")</f>
        <v/>
      </c>
    </row>
    <row r="55" spans="1:17" ht="22.5" customHeight="1" x14ac:dyDescent="0.25">
      <c r="A55" s="137" t="s">
        <v>43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</row>
    <row r="56" spans="1:17" ht="22.5" customHeight="1" x14ac:dyDescent="0.25">
      <c r="A56" s="127" t="s">
        <v>31</v>
      </c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</row>
    <row r="57" spans="1:17" ht="22.5" customHeight="1" x14ac:dyDescent="0.25">
      <c r="A57" s="127" t="s">
        <v>32</v>
      </c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</row>
    <row r="58" spans="1:17" ht="47.25" customHeight="1" x14ac:dyDescent="0.25">
      <c r="A58" s="155" t="s">
        <v>42</v>
      </c>
      <c r="B58" s="156"/>
      <c r="C58" s="157" t="s">
        <v>35</v>
      </c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8" t="s">
        <v>41</v>
      </c>
      <c r="P58" s="158"/>
      <c r="Q58" s="159"/>
    </row>
    <row r="59" spans="1:17" ht="33.75" customHeight="1" x14ac:dyDescent="0.25">
      <c r="A59" s="160" t="s">
        <v>1</v>
      </c>
      <c r="B59" s="160" t="s">
        <v>2</v>
      </c>
      <c r="C59" s="160"/>
      <c r="D59" s="160"/>
      <c r="E59" s="161" t="s">
        <v>3</v>
      </c>
      <c r="F59" s="161" t="s">
        <v>4</v>
      </c>
      <c r="G59" s="161" t="s">
        <v>5</v>
      </c>
      <c r="H59" s="161" t="s">
        <v>37</v>
      </c>
      <c r="I59" s="160" t="s">
        <v>6</v>
      </c>
      <c r="J59" s="160"/>
      <c r="K59" s="160"/>
      <c r="L59" s="160" t="s">
        <v>7</v>
      </c>
      <c r="M59" s="160"/>
      <c r="N59" s="160"/>
      <c r="O59" s="160"/>
      <c r="P59" s="161" t="s">
        <v>8</v>
      </c>
      <c r="Q59" s="161" t="s">
        <v>38</v>
      </c>
    </row>
    <row r="60" spans="1:17" ht="164.25" customHeight="1" x14ac:dyDescent="0.25">
      <c r="A60" s="160"/>
      <c r="B60" s="39" t="s">
        <v>9</v>
      </c>
      <c r="C60" s="39" t="s">
        <v>10</v>
      </c>
      <c r="D60" s="39" t="s">
        <v>11</v>
      </c>
      <c r="E60" s="162"/>
      <c r="F60" s="162"/>
      <c r="G60" s="162"/>
      <c r="H60" s="162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2"/>
      <c r="Q60" s="162"/>
    </row>
    <row r="61" spans="1:17" ht="24.75" customHeight="1" x14ac:dyDescent="0.25">
      <c r="A61" s="48" t="s">
        <v>19</v>
      </c>
      <c r="B61" s="89"/>
      <c r="C61" s="90"/>
      <c r="D61" s="91"/>
      <c r="E61" s="89"/>
      <c r="F61" s="90"/>
      <c r="G61" s="90"/>
      <c r="H61" s="92"/>
      <c r="I61" s="94"/>
      <c r="J61" s="95"/>
      <c r="K61" s="95"/>
      <c r="L61" s="94"/>
      <c r="M61" s="95"/>
      <c r="N61" s="95"/>
      <c r="O61" s="92"/>
      <c r="P61" s="95"/>
      <c r="Q61" s="92"/>
    </row>
    <row r="62" spans="1:17" ht="24.75" customHeight="1" x14ac:dyDescent="0.25">
      <c r="A62" s="47" t="s">
        <v>20</v>
      </c>
      <c r="B62" s="71"/>
      <c r="C62" s="72"/>
      <c r="D62" s="76"/>
      <c r="E62" s="71"/>
      <c r="F62" s="72"/>
      <c r="G62" s="72"/>
      <c r="H62" s="67"/>
      <c r="I62" s="73"/>
      <c r="J62" s="74"/>
      <c r="K62" s="74"/>
      <c r="L62" s="73"/>
      <c r="M62" s="74"/>
      <c r="N62" s="74"/>
      <c r="O62" s="67"/>
      <c r="P62" s="74"/>
      <c r="Q62" s="67"/>
    </row>
    <row r="63" spans="1:17" ht="24.75" customHeight="1" x14ac:dyDescent="0.25">
      <c r="A63" s="48" t="s">
        <v>21</v>
      </c>
      <c r="B63" s="96"/>
      <c r="C63" s="97"/>
      <c r="D63" s="98"/>
      <c r="E63" s="96"/>
      <c r="F63" s="97"/>
      <c r="G63" s="97"/>
      <c r="H63" s="99"/>
      <c r="I63" s="100"/>
      <c r="J63" s="101"/>
      <c r="K63" s="101"/>
      <c r="L63" s="100"/>
      <c r="M63" s="101"/>
      <c r="N63" s="101"/>
      <c r="O63" s="99"/>
      <c r="P63" s="101"/>
      <c r="Q63" s="99"/>
    </row>
    <row r="64" spans="1:17" ht="24.75" customHeight="1" x14ac:dyDescent="0.25">
      <c r="A64" s="47" t="s">
        <v>22</v>
      </c>
      <c r="B64" s="71"/>
      <c r="C64" s="72"/>
      <c r="D64" s="76"/>
      <c r="E64" s="71"/>
      <c r="F64" s="72"/>
      <c r="G64" s="72"/>
      <c r="H64" s="67"/>
      <c r="I64" s="73"/>
      <c r="J64" s="74"/>
      <c r="K64" s="74"/>
      <c r="L64" s="73"/>
      <c r="M64" s="74"/>
      <c r="N64" s="74"/>
      <c r="O64" s="67"/>
      <c r="P64" s="74"/>
      <c r="Q64" s="67"/>
    </row>
    <row r="65" spans="1:17" ht="24.75" customHeight="1" x14ac:dyDescent="0.25">
      <c r="A65" s="48" t="s">
        <v>23</v>
      </c>
      <c r="B65" s="96"/>
      <c r="C65" s="97"/>
      <c r="D65" s="98"/>
      <c r="E65" s="96"/>
      <c r="F65" s="97"/>
      <c r="G65" s="97"/>
      <c r="H65" s="99"/>
      <c r="I65" s="100"/>
      <c r="J65" s="101"/>
      <c r="K65" s="101"/>
      <c r="L65" s="100"/>
      <c r="M65" s="101"/>
      <c r="N65" s="101"/>
      <c r="O65" s="99"/>
      <c r="P65" s="101"/>
      <c r="Q65" s="99"/>
    </row>
    <row r="66" spans="1:17" ht="24.75" customHeight="1" x14ac:dyDescent="0.25">
      <c r="A66" s="47" t="s">
        <v>39</v>
      </c>
      <c r="B66" s="71"/>
      <c r="C66" s="72"/>
      <c r="D66" s="76"/>
      <c r="E66" s="71"/>
      <c r="F66" s="72"/>
      <c r="G66" s="72"/>
      <c r="H66" s="67"/>
      <c r="I66" s="73"/>
      <c r="J66" s="74"/>
      <c r="K66" s="74"/>
      <c r="L66" s="73"/>
      <c r="M66" s="74"/>
      <c r="N66" s="74"/>
      <c r="O66" s="67"/>
      <c r="P66" s="74"/>
      <c r="Q66" s="67"/>
    </row>
    <row r="67" spans="1:17" ht="24.75" customHeight="1" x14ac:dyDescent="0.25">
      <c r="A67" s="48" t="s">
        <v>40</v>
      </c>
      <c r="B67" s="96"/>
      <c r="C67" s="97"/>
      <c r="D67" s="98"/>
      <c r="E67" s="96"/>
      <c r="F67" s="97"/>
      <c r="G67" s="97"/>
      <c r="H67" s="99"/>
      <c r="I67" s="100"/>
      <c r="J67" s="101"/>
      <c r="K67" s="101"/>
      <c r="L67" s="100"/>
      <c r="M67" s="101"/>
      <c r="N67" s="101"/>
      <c r="O67" s="99"/>
      <c r="P67" s="101"/>
      <c r="Q67" s="99"/>
    </row>
    <row r="68" spans="1:17" ht="24.75" customHeight="1" x14ac:dyDescent="0.25">
      <c r="A68" s="47" t="s">
        <v>25</v>
      </c>
      <c r="B68" s="71"/>
      <c r="C68" s="72"/>
      <c r="D68" s="76"/>
      <c r="E68" s="71"/>
      <c r="F68" s="72"/>
      <c r="G68" s="72"/>
      <c r="H68" s="67"/>
      <c r="I68" s="73"/>
      <c r="J68" s="74"/>
      <c r="K68" s="74"/>
      <c r="L68" s="73"/>
      <c r="M68" s="74"/>
      <c r="N68" s="74"/>
      <c r="O68" s="67"/>
      <c r="P68" s="74"/>
      <c r="Q68" s="67"/>
    </row>
    <row r="69" spans="1:17" ht="24.75" customHeight="1" x14ac:dyDescent="0.25">
      <c r="A69" s="48" t="s">
        <v>26</v>
      </c>
      <c r="B69" s="96"/>
      <c r="C69" s="97"/>
      <c r="D69" s="98"/>
      <c r="E69" s="96"/>
      <c r="F69" s="97"/>
      <c r="G69" s="97"/>
      <c r="H69" s="99"/>
      <c r="I69" s="100"/>
      <c r="J69" s="101"/>
      <c r="K69" s="101"/>
      <c r="L69" s="100"/>
      <c r="M69" s="101"/>
      <c r="N69" s="101"/>
      <c r="O69" s="99"/>
      <c r="P69" s="101"/>
      <c r="Q69" s="99"/>
    </row>
    <row r="70" spans="1:17" ht="24.75" customHeight="1" x14ac:dyDescent="0.25">
      <c r="A70" s="47" t="s">
        <v>27</v>
      </c>
      <c r="B70" s="71"/>
      <c r="C70" s="72"/>
      <c r="D70" s="76"/>
      <c r="E70" s="71"/>
      <c r="F70" s="72"/>
      <c r="G70" s="72"/>
      <c r="H70" s="67"/>
      <c r="I70" s="73"/>
      <c r="J70" s="74"/>
      <c r="K70" s="74"/>
      <c r="L70" s="73"/>
      <c r="M70" s="74"/>
      <c r="N70" s="74"/>
      <c r="O70" s="67"/>
      <c r="P70" s="74"/>
      <c r="Q70" s="67"/>
    </row>
    <row r="71" spans="1:17" ht="24.75" customHeight="1" x14ac:dyDescent="0.25">
      <c r="A71" s="48" t="s">
        <v>28</v>
      </c>
      <c r="B71" s="96"/>
      <c r="C71" s="97"/>
      <c r="D71" s="98"/>
      <c r="E71" s="96"/>
      <c r="F71" s="97"/>
      <c r="G71" s="97"/>
      <c r="H71" s="99"/>
      <c r="I71" s="100"/>
      <c r="J71" s="101"/>
      <c r="K71" s="101"/>
      <c r="L71" s="100"/>
      <c r="M71" s="101"/>
      <c r="N71" s="101"/>
      <c r="O71" s="99"/>
      <c r="P71" s="101"/>
      <c r="Q71" s="99"/>
    </row>
    <row r="72" spans="1:17" ht="24.75" customHeight="1" x14ac:dyDescent="0.25">
      <c r="A72" s="47" t="s">
        <v>29</v>
      </c>
      <c r="B72" s="77"/>
      <c r="C72" s="78"/>
      <c r="D72" s="79"/>
      <c r="E72" s="77"/>
      <c r="F72" s="78"/>
      <c r="G72" s="78"/>
      <c r="H72" s="80"/>
      <c r="I72" s="81"/>
      <c r="J72" s="82"/>
      <c r="K72" s="82"/>
      <c r="L72" s="81"/>
      <c r="M72" s="82"/>
      <c r="N72" s="82"/>
      <c r="O72" s="80"/>
      <c r="P72" s="82"/>
      <c r="Q72" s="80"/>
    </row>
    <row r="73" spans="1:17" ht="34.5" customHeight="1" x14ac:dyDescent="0.25">
      <c r="A73" s="86" t="s">
        <v>30</v>
      </c>
      <c r="B73" s="87">
        <f t="shared" ref="B73:G73" si="6">IFERROR(SUM(B61:B72),"")</f>
        <v>0</v>
      </c>
      <c r="C73" s="87">
        <f t="shared" si="6"/>
        <v>0</v>
      </c>
      <c r="D73" s="87">
        <f t="shared" si="6"/>
        <v>0</v>
      </c>
      <c r="E73" s="87">
        <f t="shared" si="6"/>
        <v>0</v>
      </c>
      <c r="F73" s="87">
        <f t="shared" si="6"/>
        <v>0</v>
      </c>
      <c r="G73" s="87">
        <f t="shared" si="6"/>
        <v>0</v>
      </c>
      <c r="H73" s="88" t="str">
        <f>IFERROR(F73/G73*100,"")</f>
        <v/>
      </c>
      <c r="I73" s="88">
        <f t="shared" ref="I73:P73" si="7">IFERROR(SUM(I61:I72),"")</f>
        <v>0</v>
      </c>
      <c r="J73" s="88">
        <f t="shared" si="7"/>
        <v>0</v>
      </c>
      <c r="K73" s="88">
        <f t="shared" si="7"/>
        <v>0</v>
      </c>
      <c r="L73" s="88">
        <f t="shared" si="7"/>
        <v>0</v>
      </c>
      <c r="M73" s="88">
        <f t="shared" si="7"/>
        <v>0</v>
      </c>
      <c r="N73" s="88">
        <f t="shared" si="7"/>
        <v>0</v>
      </c>
      <c r="O73" s="88">
        <f t="shared" si="7"/>
        <v>0</v>
      </c>
      <c r="P73" s="88">
        <f t="shared" si="7"/>
        <v>0</v>
      </c>
      <c r="Q73" s="88" t="str">
        <f>IFERROR(O73/P73*100,"")</f>
        <v/>
      </c>
    </row>
    <row r="74" spans="1:17" ht="15.75" x14ac:dyDescent="0.25">
      <c r="A74" s="137" t="s">
        <v>43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</row>
    <row r="75" spans="1:17" ht="15.75" x14ac:dyDescent="0.25">
      <c r="A75" s="127" t="s">
        <v>31</v>
      </c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</row>
    <row r="76" spans="1:17" ht="15.75" x14ac:dyDescent="0.25">
      <c r="A76" s="127" t="s">
        <v>32</v>
      </c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</row>
    <row r="79" spans="1:17" ht="18.75" x14ac:dyDescent="0.3">
      <c r="H79" s="83"/>
      <c r="Q79" s="83"/>
    </row>
    <row r="81" spans="8:17" ht="18.75" x14ac:dyDescent="0.3">
      <c r="H81" s="83"/>
      <c r="Q81" s="83"/>
    </row>
    <row r="83" spans="8:17" ht="18.75" x14ac:dyDescent="0.3">
      <c r="H83" s="83"/>
      <c r="Q83" s="83"/>
    </row>
    <row r="85" spans="8:17" ht="18.75" x14ac:dyDescent="0.3">
      <c r="H85" s="83"/>
      <c r="Q85" s="83"/>
    </row>
    <row r="87" spans="8:17" ht="18.75" x14ac:dyDescent="0.3">
      <c r="H87" s="83"/>
      <c r="Q87" s="83"/>
    </row>
    <row r="89" spans="8:17" ht="18.75" x14ac:dyDescent="0.3">
      <c r="H89" s="83"/>
      <c r="Q89" s="83"/>
    </row>
    <row r="91" spans="8:17" ht="18.75" x14ac:dyDescent="0.3">
      <c r="H91" s="83"/>
      <c r="Q91" s="83"/>
    </row>
    <row r="93" spans="8:17" ht="18.75" x14ac:dyDescent="0.3">
      <c r="H93" s="83"/>
      <c r="Q93" s="83"/>
    </row>
    <row r="95" spans="8:17" ht="18.75" x14ac:dyDescent="0.3">
      <c r="H95" s="83"/>
      <c r="Q95" s="83"/>
    </row>
    <row r="96" spans="8:17" ht="18.75" x14ac:dyDescent="0.3">
      <c r="H96" s="83"/>
      <c r="Q96" s="83"/>
    </row>
    <row r="97" spans="8:17" ht="18.75" x14ac:dyDescent="0.3">
      <c r="H97" s="83"/>
      <c r="Q97" s="83"/>
    </row>
    <row r="98" spans="8:17" ht="18.75" x14ac:dyDescent="0.3">
      <c r="H98" s="83"/>
      <c r="Q98" s="83"/>
    </row>
    <row r="99" spans="8:17" ht="18.75" x14ac:dyDescent="0.3">
      <c r="H99" s="83"/>
      <c r="Q99" s="83"/>
    </row>
    <row r="100" spans="8:17" ht="18.75" x14ac:dyDescent="0.3">
      <c r="H100" s="83"/>
      <c r="Q100" s="83"/>
    </row>
    <row r="101" spans="8:17" ht="18.75" x14ac:dyDescent="0.3">
      <c r="H101" s="83"/>
      <c r="Q101" s="83"/>
    </row>
    <row r="121" spans="8:17" ht="18.75" x14ac:dyDescent="0.3">
      <c r="H121" s="83"/>
      <c r="Q121" s="83"/>
    </row>
    <row r="124" spans="8:17" ht="18.75" x14ac:dyDescent="0.3">
      <c r="H124" s="83"/>
      <c r="Q124" s="83"/>
    </row>
    <row r="126" spans="8:17" ht="18.75" x14ac:dyDescent="0.3">
      <c r="H126" s="83"/>
      <c r="Q126" s="83"/>
    </row>
    <row r="128" spans="8:17" ht="18.75" x14ac:dyDescent="0.3">
      <c r="H128" s="83"/>
      <c r="Q128" s="83"/>
    </row>
    <row r="130" spans="8:17" ht="18.75" x14ac:dyDescent="0.3">
      <c r="H130" s="83"/>
      <c r="Q130" s="83"/>
    </row>
    <row r="132" spans="8:17" ht="18.75" x14ac:dyDescent="0.3">
      <c r="H132" s="83"/>
      <c r="Q132" s="83"/>
    </row>
    <row r="134" spans="8:17" ht="18.75" x14ac:dyDescent="0.3">
      <c r="H134" s="83"/>
      <c r="Q134" s="83"/>
    </row>
    <row r="136" spans="8:17" ht="18.75" x14ac:dyDescent="0.3">
      <c r="H136" s="83"/>
      <c r="Q136" s="83"/>
    </row>
    <row r="138" spans="8:17" ht="18.75" x14ac:dyDescent="0.3">
      <c r="H138" s="83"/>
      <c r="Q138" s="83"/>
    </row>
    <row r="140" spans="8:17" ht="18.75" x14ac:dyDescent="0.3">
      <c r="H140" s="83"/>
      <c r="Q140" s="83"/>
    </row>
    <row r="141" spans="8:17" ht="18.75" x14ac:dyDescent="0.3">
      <c r="Q141" s="83"/>
    </row>
    <row r="142" spans="8:17" ht="18.75" x14ac:dyDescent="0.3">
      <c r="H142" s="83"/>
      <c r="Q142" s="83"/>
    </row>
    <row r="143" spans="8:17" ht="18.75" x14ac:dyDescent="0.3">
      <c r="H143" s="83"/>
      <c r="Q143" s="83"/>
    </row>
    <row r="144" spans="8:17" ht="18.75" x14ac:dyDescent="0.3">
      <c r="H144" s="83"/>
      <c r="Q144" s="83"/>
    </row>
    <row r="145" spans="8:17" ht="18.75" x14ac:dyDescent="0.3">
      <c r="H145" s="83"/>
      <c r="Q145" s="83"/>
    </row>
    <row r="146" spans="8:17" ht="18.75" x14ac:dyDescent="0.3">
      <c r="H146" s="83"/>
      <c r="Q146" s="83"/>
    </row>
    <row r="169" spans="8:17" ht="18.75" x14ac:dyDescent="0.3">
      <c r="H169" s="83"/>
      <c r="Q169" s="83"/>
    </row>
    <row r="172" spans="8:17" ht="18.75" x14ac:dyDescent="0.3">
      <c r="H172" s="83"/>
      <c r="Q172" s="83"/>
    </row>
    <row r="174" spans="8:17" ht="18.75" x14ac:dyDescent="0.3">
      <c r="H174" s="83"/>
      <c r="Q174" s="83"/>
    </row>
    <row r="176" spans="8:17" ht="18.75" x14ac:dyDescent="0.3">
      <c r="H176" s="83"/>
      <c r="Q176" s="83"/>
    </row>
    <row r="178" spans="8:17" ht="18.75" x14ac:dyDescent="0.3">
      <c r="H178" s="83"/>
      <c r="Q178" s="83"/>
    </row>
    <row r="180" spans="8:17" ht="18.75" x14ac:dyDescent="0.3">
      <c r="H180" s="83"/>
      <c r="Q180" s="83"/>
    </row>
    <row r="182" spans="8:17" ht="18.75" x14ac:dyDescent="0.3">
      <c r="H182" s="83"/>
      <c r="Q182" s="83"/>
    </row>
    <row r="184" spans="8:17" ht="18.75" x14ac:dyDescent="0.3">
      <c r="H184" s="83"/>
      <c r="Q184" s="83"/>
    </row>
    <row r="186" spans="8:17" ht="18.75" x14ac:dyDescent="0.3">
      <c r="H186" s="83"/>
      <c r="Q186" s="83"/>
    </row>
    <row r="188" spans="8:17" ht="18.75" x14ac:dyDescent="0.3">
      <c r="H188" s="83"/>
      <c r="Q188" s="83"/>
    </row>
    <row r="190" spans="8:17" ht="18.75" x14ac:dyDescent="0.3">
      <c r="H190" s="83"/>
      <c r="Q190" s="83"/>
    </row>
    <row r="192" spans="8:17" ht="18.75" x14ac:dyDescent="0.3">
      <c r="H192" s="83"/>
      <c r="Q192" s="83"/>
    </row>
    <row r="194" spans="8:17" ht="18.75" x14ac:dyDescent="0.3">
      <c r="H194" s="83"/>
      <c r="Q194" s="83"/>
    </row>
    <row r="217" spans="8:17" ht="18.75" x14ac:dyDescent="0.3">
      <c r="H217" s="83"/>
      <c r="Q217" s="83"/>
    </row>
    <row r="219" spans="8:17" ht="18.75" x14ac:dyDescent="0.3">
      <c r="H219" s="83"/>
      <c r="Q219" s="83"/>
    </row>
    <row r="220" spans="8:17" ht="18.75" x14ac:dyDescent="0.3">
      <c r="H220" s="83"/>
      <c r="Q220" s="83"/>
    </row>
    <row r="221" spans="8:17" ht="18.75" x14ac:dyDescent="0.3">
      <c r="H221" s="83"/>
      <c r="Q221" s="83"/>
    </row>
    <row r="222" spans="8:17" ht="18.75" x14ac:dyDescent="0.3">
      <c r="H222" s="83"/>
      <c r="Q222" s="83"/>
    </row>
    <row r="223" spans="8:17" ht="18.75" x14ac:dyDescent="0.3">
      <c r="H223" s="83"/>
      <c r="Q223" s="83"/>
    </row>
    <row r="224" spans="8:17" ht="18.75" x14ac:dyDescent="0.3">
      <c r="H224" s="83"/>
      <c r="Q224" s="83"/>
    </row>
    <row r="225" spans="8:17" ht="18.75" x14ac:dyDescent="0.3">
      <c r="H225" s="83"/>
      <c r="Q225" s="83"/>
    </row>
    <row r="226" spans="8:17" ht="18.75" x14ac:dyDescent="0.3">
      <c r="H226" s="83"/>
      <c r="Q226" s="83"/>
    </row>
    <row r="227" spans="8:17" ht="18.75" x14ac:dyDescent="0.3">
      <c r="H227" s="83"/>
      <c r="Q227" s="83"/>
    </row>
    <row r="228" spans="8:17" ht="18.75" x14ac:dyDescent="0.3">
      <c r="H228" s="83"/>
      <c r="Q228" s="83"/>
    </row>
    <row r="229" spans="8:17" ht="18.75" x14ac:dyDescent="0.3">
      <c r="H229" s="83"/>
      <c r="Q229" s="83"/>
    </row>
    <row r="230" spans="8:17" ht="18.75" x14ac:dyDescent="0.3">
      <c r="H230" s="83"/>
      <c r="Q230" s="83"/>
    </row>
    <row r="231" spans="8:17" ht="18.75" x14ac:dyDescent="0.3">
      <c r="H231" s="83"/>
      <c r="Q231" s="83"/>
    </row>
    <row r="232" spans="8:17" ht="18.75" x14ac:dyDescent="0.3">
      <c r="H232" s="83"/>
      <c r="Q232" s="83"/>
    </row>
    <row r="233" spans="8:17" ht="18.75" x14ac:dyDescent="0.3">
      <c r="H233" s="83"/>
      <c r="Q233" s="83"/>
    </row>
    <row r="234" spans="8:17" ht="18.75" x14ac:dyDescent="0.3">
      <c r="H234" s="83"/>
      <c r="Q234" s="83"/>
    </row>
    <row r="235" spans="8:17" ht="18.75" x14ac:dyDescent="0.3">
      <c r="H235" s="83"/>
      <c r="Q235" s="83"/>
    </row>
    <row r="236" spans="8:17" ht="18.75" x14ac:dyDescent="0.3">
      <c r="H236" s="83"/>
      <c r="Q236" s="83"/>
    </row>
    <row r="237" spans="8:17" ht="18.75" x14ac:dyDescent="0.3">
      <c r="H237" s="83"/>
      <c r="Q237" s="83"/>
    </row>
    <row r="238" spans="8:17" ht="18.75" x14ac:dyDescent="0.3">
      <c r="H238" s="83"/>
      <c r="Q238" s="83"/>
    </row>
    <row r="239" spans="8:17" ht="18.75" x14ac:dyDescent="0.3">
      <c r="H239" s="83"/>
      <c r="Q239" s="83"/>
    </row>
    <row r="240" spans="8:17" ht="18.75" x14ac:dyDescent="0.3">
      <c r="H240" s="83"/>
      <c r="Q240" s="83"/>
    </row>
    <row r="241" spans="8:17" ht="18.75" x14ac:dyDescent="0.3">
      <c r="H241" s="83"/>
      <c r="Q241" s="83"/>
    </row>
    <row r="242" spans="8:17" ht="18.75" x14ac:dyDescent="0.3">
      <c r="H242" s="83"/>
      <c r="Q242" s="83"/>
    </row>
    <row r="265" spans="8:17" ht="18.75" x14ac:dyDescent="0.3">
      <c r="H265" s="83"/>
      <c r="Q265" s="83"/>
    </row>
    <row r="268" spans="8:17" ht="18.75" x14ac:dyDescent="0.3">
      <c r="H268" s="83"/>
      <c r="Q268" s="83"/>
    </row>
    <row r="270" spans="8:17" ht="18.75" x14ac:dyDescent="0.3">
      <c r="H270" s="83"/>
      <c r="Q270" s="83"/>
    </row>
    <row r="271" spans="8:17" ht="18.75" x14ac:dyDescent="0.3">
      <c r="H271" s="83"/>
    </row>
    <row r="272" spans="8:17" ht="18.75" x14ac:dyDescent="0.3">
      <c r="H272" s="83"/>
      <c r="Q272" s="83"/>
    </row>
    <row r="274" spans="8:17" ht="18.75" x14ac:dyDescent="0.3">
      <c r="H274" s="83"/>
      <c r="Q274" s="83"/>
    </row>
    <row r="276" spans="8:17" ht="18.75" x14ac:dyDescent="0.3">
      <c r="H276" s="83"/>
      <c r="Q276" s="83"/>
    </row>
    <row r="278" spans="8:17" ht="18.75" x14ac:dyDescent="0.3">
      <c r="H278" s="83"/>
      <c r="Q278" s="83"/>
    </row>
    <row r="280" spans="8:17" ht="18.75" x14ac:dyDescent="0.3">
      <c r="H280" s="83"/>
      <c r="Q280" s="83"/>
    </row>
    <row r="282" spans="8:17" ht="18.75" x14ac:dyDescent="0.3">
      <c r="H282" s="83"/>
      <c r="Q282" s="83"/>
    </row>
    <row r="284" spans="8:17" ht="18.75" x14ac:dyDescent="0.3">
      <c r="H284" s="83"/>
      <c r="Q284" s="83"/>
    </row>
    <row r="285" spans="8:17" ht="18.75" x14ac:dyDescent="0.3">
      <c r="H285" s="83"/>
      <c r="Q285" s="83"/>
    </row>
    <row r="286" spans="8:17" ht="18.75" x14ac:dyDescent="0.3">
      <c r="H286" s="83"/>
      <c r="Q286" s="83"/>
    </row>
    <row r="287" spans="8:17" ht="18.75" x14ac:dyDescent="0.3">
      <c r="H287" s="83"/>
      <c r="Q287" s="83"/>
    </row>
    <row r="288" spans="8:17" ht="18.75" x14ac:dyDescent="0.3">
      <c r="H288" s="83"/>
      <c r="Q288" s="83"/>
    </row>
    <row r="289" spans="8:17" ht="18.75" x14ac:dyDescent="0.3">
      <c r="H289" s="83"/>
      <c r="Q289" s="83"/>
    </row>
    <row r="290" spans="8:17" ht="18.75" x14ac:dyDescent="0.3">
      <c r="H290" s="83"/>
      <c r="Q290" s="83"/>
    </row>
    <row r="292" spans="8:17" ht="18.75" x14ac:dyDescent="0.3">
      <c r="H292" s="83"/>
    </row>
    <row r="311" spans="8:17" ht="18.75" x14ac:dyDescent="0.3">
      <c r="H311" s="83"/>
      <c r="Q311" s="83"/>
    </row>
    <row r="314" spans="8:17" ht="18.75" x14ac:dyDescent="0.3">
      <c r="H314" s="83"/>
      <c r="Q314" s="83"/>
    </row>
    <row r="316" spans="8:17" ht="18.75" x14ac:dyDescent="0.3">
      <c r="H316" s="83"/>
      <c r="Q316" s="83"/>
    </row>
    <row r="318" spans="8:17" ht="18.75" x14ac:dyDescent="0.3">
      <c r="H318" s="83"/>
      <c r="Q318" s="83"/>
    </row>
    <row r="320" spans="8:17" ht="18.75" x14ac:dyDescent="0.3">
      <c r="H320" s="83"/>
      <c r="Q320" s="83"/>
    </row>
    <row r="322" spans="8:17" ht="18.75" x14ac:dyDescent="0.3">
      <c r="H322" s="83"/>
      <c r="Q322" s="83"/>
    </row>
    <row r="324" spans="8:17" ht="18.75" x14ac:dyDescent="0.3">
      <c r="H324" s="83"/>
      <c r="Q324" s="83"/>
    </row>
    <row r="326" spans="8:17" ht="18.75" x14ac:dyDescent="0.3">
      <c r="H326" s="83"/>
      <c r="Q326" s="83"/>
    </row>
    <row r="328" spans="8:17" ht="18.75" x14ac:dyDescent="0.3">
      <c r="H328" s="83"/>
      <c r="Q328" s="83"/>
    </row>
    <row r="330" spans="8:17" ht="18.75" x14ac:dyDescent="0.3">
      <c r="H330" s="83"/>
      <c r="Q330" s="83"/>
    </row>
    <row r="332" spans="8:17" ht="18.75" x14ac:dyDescent="0.3">
      <c r="H332" s="83"/>
      <c r="Q332" s="83"/>
    </row>
    <row r="334" spans="8:17" ht="18.75" x14ac:dyDescent="0.3">
      <c r="H334" s="83"/>
      <c r="Q334" s="83"/>
    </row>
    <row r="336" spans="8:17" ht="18.75" x14ac:dyDescent="0.3">
      <c r="H336" s="83"/>
      <c r="Q336" s="83"/>
    </row>
    <row r="362" spans="8:17" ht="18.75" x14ac:dyDescent="0.3">
      <c r="Q362" s="83"/>
    </row>
    <row r="364" spans="8:17" ht="18.75" x14ac:dyDescent="0.3">
      <c r="H364" s="83"/>
      <c r="Q364" s="83"/>
    </row>
    <row r="366" spans="8:17" ht="18.75" x14ac:dyDescent="0.3">
      <c r="H366" s="83"/>
    </row>
    <row r="368" spans="8:17" ht="18.75" x14ac:dyDescent="0.3">
      <c r="H368" s="83"/>
      <c r="Q368" s="83"/>
    </row>
    <row r="396" spans="8:17" ht="18.75" x14ac:dyDescent="0.3">
      <c r="H396" s="83"/>
    </row>
    <row r="398" spans="8:17" ht="18.75" x14ac:dyDescent="0.3">
      <c r="Q398" s="83"/>
    </row>
    <row r="399" spans="8:17" ht="18.75" x14ac:dyDescent="0.3">
      <c r="Q399" s="83"/>
    </row>
    <row r="400" spans="8:17" ht="18.75" x14ac:dyDescent="0.3">
      <c r="Q400" s="83"/>
    </row>
    <row r="401" spans="8:17" ht="18.75" x14ac:dyDescent="0.3">
      <c r="Q401" s="83"/>
    </row>
    <row r="402" spans="8:17" ht="18.75" x14ac:dyDescent="0.3">
      <c r="H402" s="83"/>
      <c r="Q402" s="83"/>
    </row>
    <row r="404" spans="8:17" ht="18.75" x14ac:dyDescent="0.3">
      <c r="H404" s="83"/>
      <c r="Q404" s="83"/>
    </row>
    <row r="407" spans="8:17" ht="18.75" x14ac:dyDescent="0.3">
      <c r="Q407" s="83"/>
    </row>
    <row r="431" spans="8:17" ht="18.75" x14ac:dyDescent="0.3">
      <c r="Q431" s="83"/>
    </row>
    <row r="432" spans="8:17" ht="18.75" x14ac:dyDescent="0.3">
      <c r="H432" s="83"/>
      <c r="Q432" s="83"/>
    </row>
    <row r="433" spans="8:17" ht="18.75" x14ac:dyDescent="0.3">
      <c r="H433" s="83"/>
      <c r="Q433" s="83"/>
    </row>
    <row r="434" spans="8:17" ht="18.75" x14ac:dyDescent="0.3">
      <c r="H434" s="83"/>
      <c r="Q434" s="83"/>
    </row>
    <row r="435" spans="8:17" ht="18.75" x14ac:dyDescent="0.3">
      <c r="H435" s="83"/>
      <c r="Q435" s="83"/>
    </row>
    <row r="436" spans="8:17" ht="18.75" x14ac:dyDescent="0.3">
      <c r="H436" s="83"/>
      <c r="Q436" s="83"/>
    </row>
    <row r="437" spans="8:17" ht="18.75" x14ac:dyDescent="0.3">
      <c r="H437" s="83"/>
      <c r="Q437" s="83"/>
    </row>
    <row r="439" spans="8:17" ht="18.75" x14ac:dyDescent="0.3">
      <c r="H439" s="83"/>
      <c r="Q439" s="83"/>
    </row>
    <row r="493" spans="13:13" ht="18.75" x14ac:dyDescent="0.3">
      <c r="M493" s="85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2026-01-12T05:54:21Z</dcterms:modified>
</cp:coreProperties>
</file>