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December 2025\Excel December 2025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<sst xmlns="http://schemas.openxmlformats.org/spreadsheetml/2006/main" count="157" uniqueCount="44">
  <si>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</si>
  <si>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</si>
  <si>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</si>
  <si>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</si>
  <si>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</si>
  <si>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</si>
  <si>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</si>
  <si>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</si>
  <si>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</si>
  <si>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</si>
  <si>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</si>
  <si>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</si>
  <si>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</si>
  <si>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</si>
  <si>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</si>
  <si>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</si>
  <si>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</si>
  <si>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</si>
  <si>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</si>
  <si>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</si>
  <si>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</si>
  <si>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</si>
  <si>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</si>
  <si>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</si>
  <si>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</si>
  <si>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</si>
  <si>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</si>
  <si>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</si>
  <si>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</si>
  <si>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</si>
  <si>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</si>
  <si>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</si>
  <si>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</si>
  <si>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</si>
  <si>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</si>
  <si>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</si>
  <si>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</si>
  <si>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</si>
  <si>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</si>
  <si>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</si>
  <si>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</si>
  <si>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QUIKJET CARGO</t>
  </si>
  <si>
    <t>2025</t>
  </si>
  <si>
    <t>SOURCE:-ICAO ATR FORM A FURNISHED BY QUIKJET 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</si>
</sst>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494"/>
  <sheetViews>
    <sheetView showGridLines="0" tabSelected="1" view="pageBreakPreview" zoomScale="85" zoomScaleNormal="85" zoomScaleSheetLayoutView="85" workbookViewId="0">
      <selection activeCell="G11" sqref="G11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54" t="s">
        <v>42</v>
      </c>
      <c r="B1" s="155"/>
      <c r="C1" s="156" t="s">
        <v>0</v>
      </c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7" t="s">
        <v>41</v>
      </c>
      <c r="P1" s="157"/>
      <c r="Q1" s="158"/>
    </row>
    <row r="2" spans="1:17" ht="49.5" customHeight="1" x14ac:dyDescent="0.25">
      <c r="A2" s="159" t="s">
        <v>1</v>
      </c>
      <c r="B2" s="161" t="s">
        <v>2</v>
      </c>
      <c r="C2" s="161"/>
      <c r="D2" s="161"/>
      <c r="E2" s="162" t="s">
        <v>3</v>
      </c>
      <c r="F2" s="162" t="s">
        <v>4</v>
      </c>
      <c r="G2" s="162" t="s">
        <v>5</v>
      </c>
      <c r="H2" s="162" t="s">
        <v>37</v>
      </c>
      <c r="I2" s="161" t="s">
        <v>6</v>
      </c>
      <c r="J2" s="161"/>
      <c r="K2" s="161"/>
      <c r="L2" s="161" t="s">
        <v>7</v>
      </c>
      <c r="M2" s="161"/>
      <c r="N2" s="161"/>
      <c r="O2" s="161"/>
      <c r="P2" s="162" t="s">
        <v>8</v>
      </c>
      <c r="Q2" s="162" t="s">
        <v>38</v>
      </c>
    </row>
    <row r="3" spans="1:17" ht="155.25" customHeight="1" x14ac:dyDescent="0.25">
      <c r="A3" s="160"/>
      <c r="B3" s="42" t="s">
        <v>9</v>
      </c>
      <c r="C3" s="42" t="s">
        <v>10</v>
      </c>
      <c r="D3" s="42" t="s">
        <v>11</v>
      </c>
      <c r="E3" s="162"/>
      <c r="F3" s="162"/>
      <c r="G3" s="162"/>
      <c r="H3" s="162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62"/>
      <c r="Q3" s="162"/>
    </row>
    <row r="4" spans="1:17" ht="23.1" customHeight="1" x14ac:dyDescent="0.25">
      <c r="A4" s="20" t="s">
        <v>19</v>
      </c>
      <c r="B4" s="21">
        <v>137</v>
      </c>
      <c r="C4" s="21">
        <v>293.91666666666703</v>
      </c>
      <c r="D4" s="22">
        <v>155.87299999999999</v>
      </c>
      <c r="E4" s="23">
        <v>0</v>
      </c>
      <c r="F4" s="21">
        <v>0</v>
      </c>
      <c r="G4" s="21">
        <v>0</v>
      </c>
      <c r="H4" s="25">
        <v>0</v>
      </c>
      <c r="I4" s="26">
        <v>1429.5752</v>
      </c>
      <c r="J4" s="27">
        <v>0</v>
      </c>
      <c r="K4" s="25">
        <v>1429.5752</v>
      </c>
      <c r="L4" s="26">
        <v>0</v>
      </c>
      <c r="M4" s="27">
        <v>1648.54872</v>
      </c>
      <c r="N4" s="27">
        <v>0</v>
      </c>
      <c r="O4" s="25">
        <v>1648.54872</v>
      </c>
      <c r="P4" s="27">
        <v>3429.2060000000001</v>
      </c>
      <c r="Q4" s="25">
        <v>48.07</v>
      </c>
    </row>
    <row r="5" spans="1:17" ht="23.1" customHeight="1" x14ac:dyDescent="0.25">
      <c r="A5" s="43" t="s">
        <v>20</v>
      </c>
      <c r="B5" s="64">
        <v>131</v>
      </c>
      <c r="C5" s="64">
        <v>278.66666666666703</v>
      </c>
      <c r="D5" s="53">
        <v>148.239</v>
      </c>
      <c r="E5" s="75">
        <v>0</v>
      </c>
      <c r="F5" s="64">
        <v>0</v>
      </c>
      <c r="G5" s="64">
        <v>0</v>
      </c>
      <c r="H5" s="84">
        <v>0</v>
      </c>
      <c r="I5" s="93">
        <v>1338.752</v>
      </c>
      <c r="J5" s="102">
        <v>0</v>
      </c>
      <c r="K5" s="84">
        <v>1338.752</v>
      </c>
      <c r="L5" s="93">
        <v>0</v>
      </c>
      <c r="M5" s="102">
        <v>1533.268904</v>
      </c>
      <c r="N5" s="102">
        <v>0</v>
      </c>
      <c r="O5" s="84">
        <v>1533.268904</v>
      </c>
      <c r="P5" s="102">
        <v>3261.2579999999998</v>
      </c>
      <c r="Q5" s="84">
        <v>47.01</v>
      </c>
    </row>
    <row r="6" spans="1:17" ht="23.1" customHeight="1" x14ac:dyDescent="0.25">
      <c r="A6" s="45" t="s">
        <v>21</v>
      </c>
      <c r="B6" s="29">
        <v>129</v>
      </c>
      <c r="C6" s="29">
        <v>271.14999999999998</v>
      </c>
      <c r="D6" s="28">
        <v>145.399</v>
      </c>
      <c r="E6" s="30">
        <v>0</v>
      </c>
      <c r="F6" s="29">
        <v>0</v>
      </c>
      <c r="G6" s="29">
        <v>0</v>
      </c>
      <c r="H6" s="31">
        <v>0</v>
      </c>
      <c r="I6" s="32">
        <v>1439.8424299999999</v>
      </c>
      <c r="J6" s="33">
        <v>0</v>
      </c>
      <c r="K6" s="31">
        <v>1439.8424299999999</v>
      </c>
      <c r="L6" s="32">
        <v>0</v>
      </c>
      <c r="M6" s="33">
        <v>1654.17313405</v>
      </c>
      <c r="N6" s="33">
        <v>0</v>
      </c>
      <c r="O6" s="31">
        <v>1654.17313405</v>
      </c>
      <c r="P6" s="33">
        <v>3198.7779999999998</v>
      </c>
      <c r="Q6" s="31">
        <v>51.71</v>
      </c>
    </row>
    <row r="7" spans="1:17" ht="23.1" customHeight="1" x14ac:dyDescent="0.25">
      <c r="A7" s="43" t="s">
        <v>22</v>
      </c>
      <c r="B7" s="64">
        <v>138</v>
      </c>
      <c r="C7" s="64">
        <v>299.36666666666702</v>
      </c>
      <c r="D7" s="53">
        <v>156.41</v>
      </c>
      <c r="E7" s="75">
        <v>0</v>
      </c>
      <c r="F7" s="64">
        <v>0</v>
      </c>
      <c r="G7" s="64">
        <v>0</v>
      </c>
      <c r="H7" s="84">
        <v>0</v>
      </c>
      <c r="I7" s="93">
        <v>1507.97</v>
      </c>
      <c r="J7" s="102">
        <v>0</v>
      </c>
      <c r="K7" s="84">
        <v>1507.97</v>
      </c>
      <c r="L7" s="93">
        <v>0</v>
      </c>
      <c r="M7" s="102">
        <v>1739.8376900000001</v>
      </c>
      <c r="N7" s="102">
        <v>0</v>
      </c>
      <c r="O7" s="84">
        <v>1739.8376900000001</v>
      </c>
      <c r="P7" s="102">
        <v>3441.02</v>
      </c>
      <c r="Q7" s="84">
        <v>50.56</v>
      </c>
    </row>
    <row r="8" spans="1:17" ht="30" customHeight="1" x14ac:dyDescent="0.25">
      <c r="A8" s="45" t="s">
        <v>23</v>
      </c>
      <c r="B8" s="29">
        <v>134</v>
      </c>
      <c r="C8" s="29">
        <v>286.60000000000002</v>
      </c>
      <c r="D8" s="28">
        <v>152.38200000000001</v>
      </c>
      <c r="E8" s="30">
        <v>0</v>
      </c>
      <c r="F8" s="29">
        <v>0</v>
      </c>
      <c r="G8" s="29">
        <v>0</v>
      </c>
      <c r="H8" s="31">
        <v>0</v>
      </c>
      <c r="I8" s="32">
        <v>1408.915</v>
      </c>
      <c r="J8" s="33">
        <v>0</v>
      </c>
      <c r="K8" s="31">
        <v>1408.915</v>
      </c>
      <c r="L8" s="32">
        <v>0</v>
      </c>
      <c r="M8" s="33">
        <v>1636.701239</v>
      </c>
      <c r="N8" s="33">
        <v>0</v>
      </c>
      <c r="O8" s="31">
        <v>1636.701239</v>
      </c>
      <c r="P8" s="33">
        <v>3352.404</v>
      </c>
      <c r="Q8" s="31">
        <v>48.82</v>
      </c>
    </row>
    <row r="9" spans="1:17" ht="23.1" customHeight="1" x14ac:dyDescent="0.25">
      <c r="A9" s="43" t="s">
        <v>39</v>
      </c>
      <c r="B9" s="64">
        <v>146</v>
      </c>
      <c r="C9" s="64">
        <v>313.03333333333302</v>
      </c>
      <c r="D9" s="53">
        <v>165.874</v>
      </c>
      <c r="E9" s="75">
        <v>0</v>
      </c>
      <c r="F9" s="64">
        <v>0</v>
      </c>
      <c r="G9" s="64">
        <v>0</v>
      </c>
      <c r="H9" s="84">
        <v>0</v>
      </c>
      <c r="I9" s="93">
        <v>1529.7670000000001</v>
      </c>
      <c r="J9" s="102">
        <v>0</v>
      </c>
      <c r="K9" s="84">
        <v>1529.7670000000001</v>
      </c>
      <c r="L9" s="93">
        <v>0</v>
      </c>
      <c r="M9" s="102">
        <v>1755.729521</v>
      </c>
      <c r="N9" s="102">
        <v>0</v>
      </c>
      <c r="O9" s="84">
        <v>1755.729521</v>
      </c>
      <c r="P9" s="102">
        <v>3649.2280000000001</v>
      </c>
      <c r="Q9" s="84">
        <v>48.11</v>
      </c>
    </row>
    <row r="10" spans="1:17" ht="23.1" customHeight="1" x14ac:dyDescent="0.25">
      <c r="A10" s="45" t="s">
        <v>24</v>
      </c>
      <c r="B10" s="29">
        <v>139</v>
      </c>
      <c r="C10" s="29">
        <v>297.566666666667</v>
      </c>
      <c r="D10" s="28">
        <v>158.35499999999999</v>
      </c>
      <c r="E10" s="30">
        <v>0</v>
      </c>
      <c r="F10" s="29">
        <v>0</v>
      </c>
      <c r="G10" s="29">
        <v>0</v>
      </c>
      <c r="H10" s="31">
        <v>0</v>
      </c>
      <c r="I10" s="32">
        <v>1610.8689999999999</v>
      </c>
      <c r="J10" s="33">
        <v>0</v>
      </c>
      <c r="K10" s="31">
        <v>1610.8689999999999</v>
      </c>
      <c r="L10" s="32">
        <v>0</v>
      </c>
      <c r="M10" s="33">
        <v>1859.008403</v>
      </c>
      <c r="N10" s="33">
        <v>0</v>
      </c>
      <c r="O10" s="31">
        <v>1859.008403</v>
      </c>
      <c r="P10" s="33">
        <v>3483.81</v>
      </c>
      <c r="Q10" s="31">
        <v>53.36</v>
      </c>
    </row>
    <row r="11" spans="1:17" ht="23.1" customHeight="1" x14ac:dyDescent="0.25">
      <c r="A11" s="43" t="s">
        <v>25</v>
      </c>
      <c r="B11" s="64">
        <v>113</v>
      </c>
      <c r="C11" s="64">
        <v>240.43299999999999</v>
      </c>
      <c r="D11" s="53">
        <v>127.907</v>
      </c>
      <c r="E11" s="75">
        <v>0</v>
      </c>
      <c r="F11" s="64">
        <v>0</v>
      </c>
      <c r="G11" s="64">
        <v>0</v>
      </c>
      <c r="H11" s="84">
        <v>0</v>
      </c>
      <c r="I11" s="93">
        <v>1310.1876</v>
      </c>
      <c r="J11" s="102">
        <v>0</v>
      </c>
      <c r="K11" s="84">
        <v>1310.1876</v>
      </c>
      <c r="L11" s="93">
        <v>0</v>
      </c>
      <c r="M11" s="102">
        <v>1516.4125383999999</v>
      </c>
      <c r="N11" s="102">
        <v>0</v>
      </c>
      <c r="O11" s="84">
        <v>1516.4125383999999</v>
      </c>
      <c r="P11" s="102">
        <v>2813.9540000000002</v>
      </c>
      <c r="Q11" s="84">
        <v>53.89</v>
      </c>
    </row>
    <row r="12" spans="1:17" ht="23.1" customHeight="1" x14ac:dyDescent="0.25">
      <c r="A12" s="45" t="s">
        <v>26</v>
      </c>
      <c r="B12" s="29">
        <v>98</v>
      </c>
      <c r="C12" s="29">
        <v>209</v>
      </c>
      <c r="D12" s="28">
        <v>110.428</v>
      </c>
      <c r="E12" s="30">
        <v>0</v>
      </c>
      <c r="F12" s="29">
        <v>0</v>
      </c>
      <c r="G12" s="29">
        <v>0</v>
      </c>
      <c r="H12" s="31">
        <v>0</v>
      </c>
      <c r="I12" s="32">
        <v>1146.193</v>
      </c>
      <c r="J12" s="33">
        <v>0</v>
      </c>
      <c r="K12" s="31">
        <v>1146.193</v>
      </c>
      <c r="L12" s="32">
        <v>0</v>
      </c>
      <c r="M12" s="33">
        <v>1320.8866869999999</v>
      </c>
      <c r="N12" s="33">
        <v>0</v>
      </c>
      <c r="O12" s="31">
        <v>1320.8866869999999</v>
      </c>
      <c r="P12" s="33">
        <v>2429.4160000000002</v>
      </c>
      <c r="Q12" s="31">
        <v>54.37</v>
      </c>
    </row>
    <row r="13" spans="1:17" ht="23.1" customHeight="1" x14ac:dyDescent="0.25">
      <c r="A13" s="43" t="s">
        <v>27</v>
      </c>
      <c r="B13" s="64">
        <v>95</v>
      </c>
      <c r="C13" s="64">
        <v>201.65</v>
      </c>
      <c r="D13" s="53">
        <v>107.06699999999999</v>
      </c>
      <c r="E13" s="75">
        <v>0</v>
      </c>
      <c r="F13" s="64">
        <v>0</v>
      </c>
      <c r="G13" s="64">
        <v>0</v>
      </c>
      <c r="H13" s="84">
        <v>0</v>
      </c>
      <c r="I13" s="93">
        <v>1110.5540000000001</v>
      </c>
      <c r="J13" s="102">
        <v>0</v>
      </c>
      <c r="K13" s="84">
        <v>1110.5540000000001</v>
      </c>
      <c r="L13" s="93">
        <v>0</v>
      </c>
      <c r="M13" s="102">
        <v>1279.3524259999999</v>
      </c>
      <c r="N13" s="102">
        <v>0</v>
      </c>
      <c r="O13" s="84">
        <v>1279.3524259999999</v>
      </c>
      <c r="P13" s="102">
        <v>2355.4740000000002</v>
      </c>
      <c r="Q13" s="84">
        <v>54.31</v>
      </c>
    </row>
    <row r="14" spans="1:17" ht="23.1" customHeight="1" x14ac:dyDescent="0.25">
      <c r="A14" s="45" t="s">
        <v>28</v>
      </c>
      <c r="B14" s="29">
        <v>118</v>
      </c>
      <c r="C14" s="29">
        <v>246.96666666666701</v>
      </c>
      <c r="D14" s="28">
        <v>132.57400000000001</v>
      </c>
      <c r="E14" s="30">
        <v>0</v>
      </c>
      <c r="F14" s="29">
        <v>0</v>
      </c>
      <c r="G14" s="29">
        <v>0</v>
      </c>
      <c r="H14" s="31">
        <v>0</v>
      </c>
      <c r="I14" s="32">
        <v>1336.57032</v>
      </c>
      <c r="J14" s="33">
        <v>0</v>
      </c>
      <c r="K14" s="31">
        <v>1336.57032</v>
      </c>
      <c r="L14" s="32">
        <v>0</v>
      </c>
      <c r="M14" s="33">
        <v>1538.9710282399999</v>
      </c>
      <c r="N14" s="33">
        <v>0</v>
      </c>
      <c r="O14" s="31">
        <v>1538.9710282399999</v>
      </c>
      <c r="P14" s="33">
        <v>2916.6280000000002</v>
      </c>
      <c r="Q14" s="31">
        <v>52.77</v>
      </c>
    </row>
    <row r="15" spans="1:17" ht="23.1" customHeight="1" x14ac:dyDescent="0.25">
      <c r="A15" s="121" t="s">
        <v>29</v>
      </c>
      <c r="B15" s="2">
        <v>147</v>
      </c>
      <c r="C15" s="2">
        <v>317.73333333333301</v>
      </c>
      <c r="D15" s="13">
        <v>166.255</v>
      </c>
      <c r="E15" s="24">
        <v>0</v>
      </c>
      <c r="F15" s="2">
        <v>0</v>
      </c>
      <c r="G15" s="2">
        <v>0</v>
      </c>
      <c r="H15" s="35">
        <v>0</v>
      </c>
      <c r="I15" s="44">
        <v>1652.798</v>
      </c>
      <c r="J15" s="49">
        <v>0</v>
      </c>
      <c r="K15" s="35">
        <v>1652.798</v>
      </c>
      <c r="L15" s="44">
        <v>0</v>
      </c>
      <c r="M15" s="49">
        <v>1883.9477240000001</v>
      </c>
      <c r="N15" s="49">
        <v>0</v>
      </c>
      <c r="O15" s="35">
        <v>1883.9477240000001</v>
      </c>
      <c r="P15" s="102">
        <v>3657.61</v>
      </c>
      <c r="Q15" s="84">
        <v>51.51</v>
      </c>
    </row>
    <row r="16" spans="1:17" ht="23.1" customHeight="1" x14ac:dyDescent="0.25">
      <c r="A16" s="34" t="s">
        <v>30</v>
      </c>
      <c r="B16" s="36">
        <f t="shared" ref="B16:G16" si="0">IFERROR(SUM(B4:B15),"")</f>
        <v>1525</v>
      </c>
      <c r="C16" s="36">
        <f t="shared" si="0"/>
        <v>3256.0830000000014</v>
      </c>
      <c r="D16" s="36">
        <f t="shared" si="0"/>
        <v>1726.7629999999999</v>
      </c>
      <c r="E16" s="36">
        <f t="shared" si="0"/>
        <v>0</v>
      </c>
      <c r="F16" s="36">
        <f t="shared" si="0"/>
        <v>0</v>
      </c>
      <c r="G16" s="36">
        <f t="shared" si="0"/>
        <v>0</v>
      </c>
      <c r="H16" s="37" t="str">
        <f>IFERROR(F16/G16*100,"")</f>
        <v/>
      </c>
      <c r="I16" s="37">
        <f t="shared" ref="I16:P16" si="1">IFERROR(SUM(I4:I15),"")</f>
        <v>16821.993549999999</v>
      </c>
      <c r="J16" s="37">
        <f t="shared" si="1"/>
        <v>0</v>
      </c>
      <c r="K16" s="37">
        <f t="shared" si="1"/>
        <v>16821.993549999999</v>
      </c>
      <c r="L16" s="37">
        <f t="shared" si="1"/>
        <v>0</v>
      </c>
      <c r="M16" s="37">
        <f t="shared" si="1"/>
        <v>19366.838014690002</v>
      </c>
      <c r="N16" s="37">
        <f t="shared" si="1"/>
        <v>0</v>
      </c>
      <c r="O16" s="37">
        <f t="shared" si="1"/>
        <v>19366.838014690002</v>
      </c>
      <c r="P16" s="38">
        <f t="shared" si="1"/>
        <v>37988.786</v>
      </c>
      <c r="Q16" s="38">
        <f>IFERROR(O16/P16*100,"")</f>
        <v>50.98040778320739</v>
      </c>
    </row>
    <row r="17" spans="1:17" ht="20.100000000000001" customHeight="1" x14ac:dyDescent="0.25">
      <c r="A17" s="136" t="s">
        <v>43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46" t="s">
        <v>42</v>
      </c>
      <c r="B20" s="147"/>
      <c r="C20" s="148" t="s">
        <v>33</v>
      </c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9" t="s">
        <v>41</v>
      </c>
      <c r="P20" s="149"/>
      <c r="Q20" s="150"/>
    </row>
    <row r="21" spans="1:17" ht="51" customHeight="1" x14ac:dyDescent="0.25">
      <c r="A21" s="151" t="s">
        <v>1</v>
      </c>
      <c r="B21" s="151" t="s">
        <v>2</v>
      </c>
      <c r="C21" s="151"/>
      <c r="D21" s="151"/>
      <c r="E21" s="152" t="s">
        <v>3</v>
      </c>
      <c r="F21" s="152" t="s">
        <v>4</v>
      </c>
      <c r="G21" s="152" t="s">
        <v>5</v>
      </c>
      <c r="H21" s="152" t="s">
        <v>37</v>
      </c>
      <c r="I21" s="151" t="s">
        <v>6</v>
      </c>
      <c r="J21" s="151"/>
      <c r="K21" s="151"/>
      <c r="L21" s="151" t="s">
        <v>7</v>
      </c>
      <c r="M21" s="151"/>
      <c r="N21" s="151"/>
      <c r="O21" s="151"/>
      <c r="P21" s="152" t="s">
        <v>8</v>
      </c>
      <c r="Q21" s="152" t="s">
        <v>38</v>
      </c>
    </row>
    <row r="22" spans="1:17" ht="150.75" customHeight="1" x14ac:dyDescent="0.25">
      <c r="A22" s="151"/>
      <c r="B22" s="19" t="s">
        <v>9</v>
      </c>
      <c r="C22" s="19" t="s">
        <v>10</v>
      </c>
      <c r="D22" s="19" t="s">
        <v>11</v>
      </c>
      <c r="E22" s="152"/>
      <c r="F22" s="152"/>
      <c r="G22" s="152"/>
      <c r="H22" s="152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53"/>
      <c r="Q22" s="153"/>
    </row>
    <row r="23" spans="1:17" ht="23.1" customHeight="1" x14ac:dyDescent="0.25">
      <c r="A23" s="15" t="s">
        <v>19</v>
      </c>
      <c r="B23" s="7"/>
      <c r="C23" s="8"/>
      <c r="D23" s="9"/>
      <c r="E23" s="7"/>
      <c r="F23" s="8"/>
      <c r="G23" s="8"/>
      <c r="H23" s="10"/>
      <c r="I23" s="11"/>
      <c r="J23" s="11"/>
      <c r="K23" s="11"/>
      <c r="L23" s="12"/>
      <c r="M23" s="11"/>
      <c r="N23" s="11"/>
      <c r="O23" s="14"/>
      <c r="P23" s="12"/>
      <c r="Q23" s="14"/>
    </row>
    <row r="24" spans="1:17" ht="23.1" customHeight="1" x14ac:dyDescent="0.25">
      <c r="A24" s="51" t="s">
        <v>20</v>
      </c>
      <c r="B24" s="51"/>
      <c r="C24" s="50"/>
      <c r="D24" s="52"/>
      <c r="E24" s="51"/>
      <c r="F24" s="50"/>
      <c r="G24" s="50"/>
      <c r="H24" s="54"/>
      <c r="I24" s="55"/>
      <c r="J24" s="55"/>
      <c r="K24" s="55"/>
      <c r="L24" s="56"/>
      <c r="M24" s="55"/>
      <c r="N24" s="55"/>
      <c r="O24" s="54"/>
      <c r="P24" s="56"/>
      <c r="Q24" s="54"/>
    </row>
    <row r="25" spans="1:17" ht="23.1" customHeight="1" x14ac:dyDescent="0.25">
      <c r="A25" s="15" t="s">
        <v>21</v>
      </c>
      <c r="B25" s="15"/>
      <c r="C25" s="6"/>
      <c r="D25" s="16"/>
      <c r="E25" s="15"/>
      <c r="F25" s="6"/>
      <c r="G25" s="6"/>
      <c r="H25" s="10"/>
      <c r="I25" s="17"/>
      <c r="J25" s="17"/>
      <c r="K25" s="17"/>
      <c r="L25" s="18"/>
      <c r="M25" s="17"/>
      <c r="N25" s="17"/>
      <c r="O25" s="10"/>
      <c r="P25" s="18"/>
      <c r="Q25" s="10"/>
    </row>
    <row r="26" spans="1:17" ht="23.1" customHeight="1" x14ac:dyDescent="0.25">
      <c r="A26" s="51" t="s">
        <v>22</v>
      </c>
      <c r="B26" s="51"/>
      <c r="C26" s="50"/>
      <c r="D26" s="52"/>
      <c r="E26" s="51"/>
      <c r="F26" s="50"/>
      <c r="G26" s="50"/>
      <c r="H26" s="54"/>
      <c r="I26" s="55"/>
      <c r="J26" s="55"/>
      <c r="K26" s="55"/>
      <c r="L26" s="56"/>
      <c r="M26" s="55"/>
      <c r="N26" s="55"/>
      <c r="O26" s="54"/>
      <c r="P26" s="56"/>
      <c r="Q26" s="54"/>
    </row>
    <row r="27" spans="1:17" ht="30" customHeight="1" x14ac:dyDescent="0.25">
      <c r="A27" s="15" t="s">
        <v>23</v>
      </c>
      <c r="B27" s="15"/>
      <c r="C27" s="6"/>
      <c r="D27" s="16"/>
      <c r="E27" s="15"/>
      <c r="F27" s="6"/>
      <c r="G27" s="6"/>
      <c r="H27" s="10"/>
      <c r="I27" s="17"/>
      <c r="J27" s="17"/>
      <c r="K27" s="17"/>
      <c r="L27" s="18"/>
      <c r="M27" s="17"/>
      <c r="N27" s="17"/>
      <c r="O27" s="10"/>
      <c r="P27" s="18"/>
      <c r="Q27" s="10"/>
    </row>
    <row r="28" spans="1:17" ht="23.1" customHeight="1" x14ac:dyDescent="0.25">
      <c r="A28" s="51" t="s">
        <v>39</v>
      </c>
      <c r="B28" s="51"/>
      <c r="C28" s="50"/>
      <c r="D28" s="52"/>
      <c r="E28" s="51"/>
      <c r="F28" s="50"/>
      <c r="G28" s="50"/>
      <c r="H28" s="54"/>
      <c r="I28" s="55"/>
      <c r="J28" s="55"/>
      <c r="K28" s="55"/>
      <c r="L28" s="56"/>
      <c r="M28" s="55"/>
      <c r="N28" s="55"/>
      <c r="O28" s="54"/>
      <c r="P28" s="56"/>
      <c r="Q28" s="54"/>
    </row>
    <row r="29" spans="1:17" ht="23.1" customHeight="1" x14ac:dyDescent="0.25">
      <c r="A29" s="15" t="s">
        <v>40</v>
      </c>
      <c r="B29" s="15"/>
      <c r="C29" s="6"/>
      <c r="D29" s="16"/>
      <c r="E29" s="15"/>
      <c r="F29" s="6"/>
      <c r="G29" s="6"/>
      <c r="H29" s="10"/>
      <c r="I29" s="17"/>
      <c r="J29" s="17"/>
      <c r="K29" s="17"/>
      <c r="L29" s="18"/>
      <c r="M29" s="17"/>
      <c r="N29" s="17"/>
      <c r="O29" s="10"/>
      <c r="P29" s="18"/>
      <c r="Q29" s="10"/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0</v>
      </c>
      <c r="C35" s="3">
        <f t="shared" si="2"/>
        <v>0</v>
      </c>
      <c r="D35" s="3">
        <f t="shared" si="2"/>
        <v>0</v>
      </c>
      <c r="E35" s="3">
        <f t="shared" si="2"/>
        <v>0</v>
      </c>
      <c r="F35" s="3">
        <f t="shared" si="2"/>
        <v>0</v>
      </c>
      <c r="G35" s="3">
        <f t="shared" si="2"/>
        <v>0</v>
      </c>
      <c r="H35" s="4" t="str">
        <f>IFERROR(F35/G35*100,"")</f>
        <v/>
      </c>
      <c r="I35" s="5">
        <f t="shared" ref="I35:P35" si="3">IFERROR(SUM(I23:I34),"")</f>
        <v>0</v>
      </c>
      <c r="J35" s="5">
        <f t="shared" si="3"/>
        <v>0</v>
      </c>
      <c r="K35" s="5">
        <f t="shared" si="3"/>
        <v>0</v>
      </c>
      <c r="L35" s="5">
        <f t="shared" si="3"/>
        <v>0</v>
      </c>
      <c r="M35" s="5">
        <f t="shared" si="3"/>
        <v>0</v>
      </c>
      <c r="N35" s="5">
        <f t="shared" si="3"/>
        <v>0</v>
      </c>
      <c r="O35" s="5">
        <f t="shared" si="3"/>
        <v>0</v>
      </c>
      <c r="P35" s="5">
        <f t="shared" si="3"/>
        <v>0</v>
      </c>
      <c r="Q35" s="5" t="str">
        <f>IFERROR(O35/P35*100,"")</f>
        <v/>
      </c>
    </row>
    <row r="36" spans="1:17" ht="15.75" x14ac:dyDescent="0.25">
      <c r="A36" s="136" t="s">
        <v>43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38" t="s">
        <v>42</v>
      </c>
      <c r="B39" s="139"/>
      <c r="C39" s="140" t="s">
        <v>34</v>
      </c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1" t="s">
        <v>41</v>
      </c>
      <c r="P39" s="141"/>
      <c r="Q39" s="142"/>
    </row>
    <row r="40" spans="1:17" ht="39.75" customHeight="1" x14ac:dyDescent="0.25">
      <c r="A40" s="143" t="s">
        <v>1</v>
      </c>
      <c r="B40" s="143" t="s">
        <v>2</v>
      </c>
      <c r="C40" s="143"/>
      <c r="D40" s="143"/>
      <c r="E40" s="144" t="s">
        <v>3</v>
      </c>
      <c r="F40" s="144" t="s">
        <v>4</v>
      </c>
      <c r="G40" s="144" t="s">
        <v>5</v>
      </c>
      <c r="H40" s="144" t="s">
        <v>37</v>
      </c>
      <c r="I40" s="143" t="s">
        <v>6</v>
      </c>
      <c r="J40" s="143"/>
      <c r="K40" s="143"/>
      <c r="L40" s="143" t="s">
        <v>7</v>
      </c>
      <c r="M40" s="143"/>
      <c r="N40" s="143"/>
      <c r="O40" s="143"/>
      <c r="P40" s="144" t="s">
        <v>8</v>
      </c>
      <c r="Q40" s="144" t="s">
        <v>38</v>
      </c>
    </row>
    <row r="41" spans="1:17" ht="178.5" customHeight="1" x14ac:dyDescent="0.25">
      <c r="A41" s="143"/>
      <c r="B41" s="40" t="s">
        <v>9</v>
      </c>
      <c r="C41" s="40" t="s">
        <v>10</v>
      </c>
      <c r="D41" s="40" t="s">
        <v>11</v>
      </c>
      <c r="E41" s="145"/>
      <c r="F41" s="145"/>
      <c r="G41" s="145"/>
      <c r="H41" s="145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45"/>
      <c r="Q41" s="145"/>
    </row>
    <row r="42" spans="1:17" ht="25.5" customHeight="1" x14ac:dyDescent="0.25">
      <c r="A42" s="46" t="s">
        <v>19</v>
      </c>
      <c r="B42" s="103"/>
      <c r="C42" s="104"/>
      <c r="D42" s="105"/>
      <c r="E42" s="103"/>
      <c r="F42" s="104"/>
      <c r="G42" s="104"/>
      <c r="H42" s="106"/>
      <c r="I42" s="107"/>
      <c r="J42" s="108"/>
      <c r="K42" s="106"/>
      <c r="L42" s="107"/>
      <c r="M42" s="108"/>
      <c r="N42" s="108"/>
      <c r="O42" s="106"/>
      <c r="P42" s="107"/>
      <c r="Q42" s="106"/>
    </row>
    <row r="43" spans="1:17" ht="25.5" customHeight="1" x14ac:dyDescent="0.25">
      <c r="A43" s="47" t="s">
        <v>20</v>
      </c>
      <c r="B43" s="63">
        <v>11</v>
      </c>
      <c r="C43" s="65">
        <v>26.683333333333302</v>
      </c>
      <c r="D43" s="66">
        <v>12.478999999999999</v>
      </c>
      <c r="E43" s="63">
        <v>0</v>
      </c>
      <c r="F43" s="65">
        <v>0</v>
      </c>
      <c r="G43" s="65">
        <v>0</v>
      </c>
      <c r="H43" s="67">
        <v>0</v>
      </c>
      <c r="I43" s="68">
        <v>37.054000000000002</v>
      </c>
      <c r="J43" s="69">
        <v>0</v>
      </c>
      <c r="K43" s="67">
        <v>37.054000000000002</v>
      </c>
      <c r="L43" s="68">
        <v>0</v>
      </c>
      <c r="M43" s="69">
        <v>48.291908999999997</v>
      </c>
      <c r="N43" s="69">
        <v>0</v>
      </c>
      <c r="O43" s="67">
        <v>48.291908999999997</v>
      </c>
      <c r="P43" s="68">
        <v>274.53800000000001</v>
      </c>
      <c r="Q43" s="67">
        <v>17.59</v>
      </c>
    </row>
    <row r="44" spans="1:17" ht="25.5" customHeight="1" x14ac:dyDescent="0.25">
      <c r="A44" s="46" t="s">
        <v>21</v>
      </c>
      <c r="B44" s="109">
        <v>38</v>
      </c>
      <c r="C44" s="110">
        <v>64.349999999999994</v>
      </c>
      <c r="D44" s="111">
        <v>29.946000000000002</v>
      </c>
      <c r="E44" s="109">
        <v>0</v>
      </c>
      <c r="F44" s="110">
        <v>0</v>
      </c>
      <c r="G44" s="110">
        <v>0</v>
      </c>
      <c r="H44" s="112">
        <v>0</v>
      </c>
      <c r="I44" s="113">
        <v>253.5</v>
      </c>
      <c r="J44" s="114">
        <v>0</v>
      </c>
      <c r="K44" s="112">
        <v>253.5</v>
      </c>
      <c r="L44" s="113">
        <v>0</v>
      </c>
      <c r="M44" s="114">
        <v>258.48481199999998</v>
      </c>
      <c r="N44" s="114">
        <v>0</v>
      </c>
      <c r="O44" s="112">
        <v>258.48481199999998</v>
      </c>
      <c r="P44" s="113">
        <v>658.81200000000001</v>
      </c>
      <c r="Q44" s="112">
        <v>39.229999999999997</v>
      </c>
    </row>
    <row r="45" spans="1:17" ht="25.5" customHeight="1" x14ac:dyDescent="0.25">
      <c r="A45" s="47" t="s">
        <v>22</v>
      </c>
      <c r="B45" s="63">
        <v>10</v>
      </c>
      <c r="C45" s="70">
        <v>16.45</v>
      </c>
      <c r="D45" s="66">
        <v>7.19</v>
      </c>
      <c r="E45" s="63">
        <v>0</v>
      </c>
      <c r="F45" s="65">
        <v>0</v>
      </c>
      <c r="G45" s="65">
        <v>0</v>
      </c>
      <c r="H45" s="67">
        <v>0</v>
      </c>
      <c r="I45" s="68">
        <v>64.84</v>
      </c>
      <c r="J45" s="69">
        <v>0</v>
      </c>
      <c r="K45" s="67">
        <v>64.84</v>
      </c>
      <c r="L45" s="68">
        <v>0</v>
      </c>
      <c r="M45" s="69">
        <v>59.34</v>
      </c>
      <c r="N45" s="69">
        <v>0</v>
      </c>
      <c r="O45" s="67">
        <v>59.34</v>
      </c>
      <c r="P45" s="68">
        <v>158.18</v>
      </c>
      <c r="Q45" s="67">
        <v>37.51</v>
      </c>
    </row>
    <row r="46" spans="1:17" ht="25.5" customHeight="1" x14ac:dyDescent="0.25">
      <c r="A46" s="46" t="s">
        <v>23</v>
      </c>
      <c r="B46" s="109">
        <v>1</v>
      </c>
      <c r="C46" s="115">
        <v>1.61666666666667</v>
      </c>
      <c r="D46" s="111">
        <v>0.623</v>
      </c>
      <c r="E46" s="109">
        <v>0</v>
      </c>
      <c r="F46" s="110">
        <v>0</v>
      </c>
      <c r="G46" s="110">
        <v>0</v>
      </c>
      <c r="H46" s="112">
        <v>0</v>
      </c>
      <c r="I46" s="113">
        <v>6.83</v>
      </c>
      <c r="J46" s="114">
        <v>0</v>
      </c>
      <c r="K46" s="112">
        <v>6.83</v>
      </c>
      <c r="L46" s="113">
        <v>0</v>
      </c>
      <c r="M46" s="114">
        <v>4.25509</v>
      </c>
      <c r="N46" s="114">
        <v>0</v>
      </c>
      <c r="O46" s="112">
        <v>4.25509</v>
      </c>
      <c r="P46" s="113">
        <v>13.706</v>
      </c>
      <c r="Q46" s="112">
        <v>31.05</v>
      </c>
    </row>
    <row r="47" spans="1:17" ht="25.5" customHeight="1" x14ac:dyDescent="0.25">
      <c r="A47" s="47" t="s">
        <v>39</v>
      </c>
      <c r="B47" s="71">
        <v>2</v>
      </c>
      <c r="C47" s="72">
        <v>2.7833333333333301</v>
      </c>
      <c r="D47" s="66">
        <v>1.246</v>
      </c>
      <c r="E47" s="71">
        <v>0</v>
      </c>
      <c r="F47" s="72">
        <v>0</v>
      </c>
      <c r="G47" s="72">
        <v>0</v>
      </c>
      <c r="H47" s="67">
        <v>0</v>
      </c>
      <c r="I47" s="73">
        <v>8.4649999999999999</v>
      </c>
      <c r="J47" s="74">
        <v>0</v>
      </c>
      <c r="K47" s="67">
        <v>8.4649999999999999</v>
      </c>
      <c r="L47" s="73">
        <v>0</v>
      </c>
      <c r="M47" s="74">
        <v>5.273695</v>
      </c>
      <c r="N47" s="74">
        <v>0</v>
      </c>
      <c r="O47" s="67">
        <v>5.273695</v>
      </c>
      <c r="P47" s="73">
        <v>27.411999999999999</v>
      </c>
      <c r="Q47" s="67">
        <v>19.239999999999998</v>
      </c>
    </row>
    <row r="48" spans="1:17" ht="25.5" customHeight="1" x14ac:dyDescent="0.25">
      <c r="A48" s="46" t="s">
        <v>40</v>
      </c>
      <c r="B48" s="116">
        <v>9</v>
      </c>
      <c r="C48" s="117">
        <v>23.233333333333299</v>
      </c>
      <c r="D48" s="118">
        <v>13.167</v>
      </c>
      <c r="E48" s="116">
        <v>0</v>
      </c>
      <c r="F48" s="117">
        <v>0</v>
      </c>
      <c r="G48" s="117">
        <v>0</v>
      </c>
      <c r="H48" s="112">
        <v>0</v>
      </c>
      <c r="I48" s="119">
        <v>89.965999999999994</v>
      </c>
      <c r="J48" s="120">
        <v>0</v>
      </c>
      <c r="K48" s="112">
        <v>89.965999999999994</v>
      </c>
      <c r="L48" s="119">
        <v>0</v>
      </c>
      <c r="M48" s="120">
        <v>142.279258</v>
      </c>
      <c r="N48" s="120">
        <v>0</v>
      </c>
      <c r="O48" s="112">
        <v>142.279258</v>
      </c>
      <c r="P48" s="119">
        <v>289.67399999999998</v>
      </c>
      <c r="Q48" s="112">
        <v>49.12</v>
      </c>
    </row>
    <row r="49" spans="1:17" ht="25.5" customHeight="1" x14ac:dyDescent="0.25">
      <c r="A49" s="47" t="s">
        <v>25</v>
      </c>
      <c r="B49" s="71">
        <v>3</v>
      </c>
      <c r="C49" s="72">
        <v>5.6333299999999999</v>
      </c>
      <c r="D49" s="76">
        <v>2.9489999999999998</v>
      </c>
      <c r="E49" s="71">
        <v>0</v>
      </c>
      <c r="F49" s="72">
        <v>0</v>
      </c>
      <c r="G49" s="72">
        <v>0</v>
      </c>
      <c r="H49" s="67">
        <v>0</v>
      </c>
      <c r="I49" s="73">
        <v>16.254000000000001</v>
      </c>
      <c r="J49" s="74">
        <v>0</v>
      </c>
      <c r="K49" s="67">
        <v>16.254000000000001</v>
      </c>
      <c r="L49" s="73">
        <v>0</v>
      </c>
      <c r="M49" s="74">
        <v>16.126722000000001</v>
      </c>
      <c r="N49" s="74">
        <v>0</v>
      </c>
      <c r="O49" s="67">
        <v>16.126722000000001</v>
      </c>
      <c r="P49" s="73">
        <v>64.878</v>
      </c>
      <c r="Q49" s="67">
        <v>24.86</v>
      </c>
    </row>
    <row r="50" spans="1:17" ht="25.5" customHeight="1" x14ac:dyDescent="0.25">
      <c r="A50" s="46" t="s">
        <v>26</v>
      </c>
      <c r="B50" s="116">
        <v>16</v>
      </c>
      <c r="C50" s="117">
        <v>41.183333333333302</v>
      </c>
      <c r="D50" s="118">
        <v>23.414999999999999</v>
      </c>
      <c r="E50" s="116">
        <v>0</v>
      </c>
      <c r="F50" s="117">
        <v>0</v>
      </c>
      <c r="G50" s="117">
        <v>0</v>
      </c>
      <c r="H50" s="112">
        <v>0</v>
      </c>
      <c r="I50" s="119">
        <v>156.70400000000001</v>
      </c>
      <c r="J50" s="120">
        <v>0</v>
      </c>
      <c r="K50" s="112">
        <v>156.70400000000001</v>
      </c>
      <c r="L50" s="119">
        <v>0</v>
      </c>
      <c r="M50" s="120">
        <v>249.07576299999999</v>
      </c>
      <c r="N50" s="120">
        <v>0</v>
      </c>
      <c r="O50" s="112">
        <v>249.07576299999999</v>
      </c>
      <c r="P50" s="119">
        <v>515.13</v>
      </c>
      <c r="Q50" s="112">
        <v>48.35</v>
      </c>
    </row>
    <row r="51" spans="1:17" ht="25.5" customHeight="1" x14ac:dyDescent="0.25">
      <c r="A51" s="47" t="s">
        <v>27</v>
      </c>
      <c r="B51" s="71">
        <v>2</v>
      </c>
      <c r="C51" s="72">
        <v>4.3666666666666698</v>
      </c>
      <c r="D51" s="76">
        <v>2.5259999999999998</v>
      </c>
      <c r="E51" s="71">
        <v>0</v>
      </c>
      <c r="F51" s="72">
        <v>0</v>
      </c>
      <c r="G51" s="72">
        <v>0</v>
      </c>
      <c r="H51" s="67">
        <v>0</v>
      </c>
      <c r="I51" s="73">
        <v>17.204999999999998</v>
      </c>
      <c r="J51" s="74">
        <v>0</v>
      </c>
      <c r="K51" s="67">
        <v>17.204999999999998</v>
      </c>
      <c r="L51" s="73">
        <v>0</v>
      </c>
      <c r="M51" s="74">
        <v>21.729914999999998</v>
      </c>
      <c r="N51" s="74">
        <v>0</v>
      </c>
      <c r="O51" s="67">
        <v>21.729914999999998</v>
      </c>
      <c r="P51" s="73">
        <v>55.572000000000003</v>
      </c>
      <c r="Q51" s="67">
        <v>39.1</v>
      </c>
    </row>
    <row r="52" spans="1:17" ht="25.5" customHeight="1" x14ac:dyDescent="0.25">
      <c r="A52" s="46" t="s">
        <v>28</v>
      </c>
      <c r="B52" s="116">
        <v>4</v>
      </c>
      <c r="C52" s="117">
        <v>7.8333333333333304</v>
      </c>
      <c r="D52" s="118">
        <v>3.9809999999999999</v>
      </c>
      <c r="E52" s="116">
        <v>0</v>
      </c>
      <c r="F52" s="117">
        <v>0</v>
      </c>
      <c r="G52" s="117">
        <v>0</v>
      </c>
      <c r="H52" s="112">
        <v>0</v>
      </c>
      <c r="I52" s="119">
        <v>31.388999999999999</v>
      </c>
      <c r="J52" s="120">
        <v>0</v>
      </c>
      <c r="K52" s="112">
        <v>31.388999999999999</v>
      </c>
      <c r="L52" s="119">
        <v>0</v>
      </c>
      <c r="M52" s="120">
        <v>33.309531999999997</v>
      </c>
      <c r="N52" s="120">
        <v>0</v>
      </c>
      <c r="O52" s="112">
        <v>33.309531999999997</v>
      </c>
      <c r="P52" s="119">
        <v>87.581999999999994</v>
      </c>
      <c r="Q52" s="112">
        <v>38.03</v>
      </c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96</v>
      </c>
      <c r="C54" s="123">
        <f t="shared" si="4"/>
        <v>194.13332999999994</v>
      </c>
      <c r="D54" s="123">
        <f t="shared" si="4"/>
        <v>97.521999999999977</v>
      </c>
      <c r="E54" s="123">
        <f t="shared" si="4"/>
        <v>0</v>
      </c>
      <c r="F54" s="123">
        <f t="shared" si="4"/>
        <v>0</v>
      </c>
      <c r="G54" s="123">
        <f t="shared" si="4"/>
        <v>0</v>
      </c>
      <c r="H54" s="124" t="str">
        <f>IFERROR(F54/G54*100,"")</f>
        <v/>
      </c>
      <c r="I54" s="124">
        <f t="shared" ref="I54:P54" si="5">IFERROR(SUM(I42:I53),"")</f>
        <v>682.20700000000011</v>
      </c>
      <c r="J54" s="124">
        <f t="shared" si="5"/>
        <v>0</v>
      </c>
      <c r="K54" s="124">
        <f t="shared" si="5"/>
        <v>682.20700000000011</v>
      </c>
      <c r="L54" s="124">
        <f t="shared" si="5"/>
        <v>0</v>
      </c>
      <c r="M54" s="124">
        <f t="shared" si="5"/>
        <v>838.16669599999989</v>
      </c>
      <c r="N54" s="124">
        <f t="shared" si="5"/>
        <v>0</v>
      </c>
      <c r="O54" s="124">
        <f t="shared" si="5"/>
        <v>838.16669599999989</v>
      </c>
      <c r="P54" s="125">
        <f t="shared" si="5"/>
        <v>2145.4839999999999</v>
      </c>
      <c r="Q54" s="124">
        <f>IFERROR(O54/P54*100,"")</f>
        <v>39.06655542525602</v>
      </c>
    </row>
    <row r="55" spans="1:17" ht="22.5" customHeight="1" x14ac:dyDescent="0.25">
      <c r="A55" s="136" t="s">
        <v>43</v>
      </c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28" t="s">
        <v>42</v>
      </c>
      <c r="B58" s="129"/>
      <c r="C58" s="130" t="s">
        <v>35</v>
      </c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1" t="s">
        <v>41</v>
      </c>
      <c r="P58" s="131"/>
      <c r="Q58" s="132"/>
    </row>
    <row r="59" spans="1:17" ht="33.75" customHeight="1" x14ac:dyDescent="0.25">
      <c r="A59" s="133" t="s">
        <v>1</v>
      </c>
      <c r="B59" s="133" t="s">
        <v>2</v>
      </c>
      <c r="C59" s="133"/>
      <c r="D59" s="133"/>
      <c r="E59" s="134" t="s">
        <v>3</v>
      </c>
      <c r="F59" s="134" t="s">
        <v>4</v>
      </c>
      <c r="G59" s="134" t="s">
        <v>5</v>
      </c>
      <c r="H59" s="134" t="s">
        <v>37</v>
      </c>
      <c r="I59" s="133" t="s">
        <v>6</v>
      </c>
      <c r="J59" s="133"/>
      <c r="K59" s="133"/>
      <c r="L59" s="133" t="s">
        <v>7</v>
      </c>
      <c r="M59" s="133"/>
      <c r="N59" s="133"/>
      <c r="O59" s="133"/>
      <c r="P59" s="134" t="s">
        <v>8</v>
      </c>
      <c r="Q59" s="134" t="s">
        <v>38</v>
      </c>
    </row>
    <row r="60" spans="1:17" ht="164.25" customHeight="1" x14ac:dyDescent="0.25">
      <c r="A60" s="133"/>
      <c r="B60" s="39" t="s">
        <v>9</v>
      </c>
      <c r="C60" s="39" t="s">
        <v>10</v>
      </c>
      <c r="D60" s="39" t="s">
        <v>11</v>
      </c>
      <c r="E60" s="135"/>
      <c r="F60" s="135"/>
      <c r="G60" s="135"/>
      <c r="H60" s="135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35"/>
      <c r="Q60" s="135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>
        <v>8</v>
      </c>
      <c r="C62" s="72">
        <v>36.033333333333303</v>
      </c>
      <c r="D62" s="76">
        <v>22.827000000000002</v>
      </c>
      <c r="E62" s="71">
        <v>0</v>
      </c>
      <c r="F62" s="72">
        <v>0</v>
      </c>
      <c r="G62" s="72">
        <v>0</v>
      </c>
      <c r="H62" s="67">
        <v>0</v>
      </c>
      <c r="I62" s="73">
        <v>54.195</v>
      </c>
      <c r="J62" s="74">
        <v>0</v>
      </c>
      <c r="K62" s="74">
        <v>54.195</v>
      </c>
      <c r="L62" s="73">
        <v>0</v>
      </c>
      <c r="M62" s="74">
        <v>162.80178000000001</v>
      </c>
      <c r="N62" s="74">
        <v>0</v>
      </c>
      <c r="O62" s="67">
        <v>162.80178000000001</v>
      </c>
      <c r="P62" s="74">
        <v>502.19400000000002</v>
      </c>
      <c r="Q62" s="67">
        <v>32.42</v>
      </c>
    </row>
    <row r="63" spans="1:17" ht="24.75" customHeight="1" x14ac:dyDescent="0.25">
      <c r="A63" s="48" t="s">
        <v>21</v>
      </c>
      <c r="B63" s="96"/>
      <c r="C63" s="97"/>
      <c r="D63" s="98"/>
      <c r="E63" s="96"/>
      <c r="F63" s="97"/>
      <c r="G63" s="97"/>
      <c r="H63" s="99"/>
      <c r="I63" s="100"/>
      <c r="J63" s="101"/>
      <c r="K63" s="101"/>
      <c r="L63" s="100"/>
      <c r="M63" s="101"/>
      <c r="N63" s="101"/>
      <c r="O63" s="99"/>
      <c r="P63" s="101"/>
      <c r="Q63" s="99"/>
    </row>
    <row r="64" spans="1:17" ht="24.75" customHeight="1" x14ac:dyDescent="0.25">
      <c r="A64" s="47" t="s">
        <v>22</v>
      </c>
      <c r="B64" s="71"/>
      <c r="C64" s="72"/>
      <c r="D64" s="76"/>
      <c r="E64" s="71"/>
      <c r="F64" s="72"/>
      <c r="G64" s="72"/>
      <c r="H64" s="67"/>
      <c r="I64" s="73"/>
      <c r="J64" s="74"/>
      <c r="K64" s="74"/>
      <c r="L64" s="73"/>
      <c r="M64" s="74"/>
      <c r="N64" s="74"/>
      <c r="O64" s="67"/>
      <c r="P64" s="74"/>
      <c r="Q64" s="67"/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39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40</v>
      </c>
      <c r="B67" s="96">
        <v>2</v>
      </c>
      <c r="C67" s="97">
        <v>9.4833333333333307</v>
      </c>
      <c r="D67" s="98">
        <v>5.9119999999999999</v>
      </c>
      <c r="E67" s="96">
        <v>0</v>
      </c>
      <c r="F67" s="97">
        <v>0</v>
      </c>
      <c r="G67" s="97">
        <v>0</v>
      </c>
      <c r="H67" s="99">
        <v>0</v>
      </c>
      <c r="I67" s="100">
        <v>11.917</v>
      </c>
      <c r="J67" s="101">
        <v>0</v>
      </c>
      <c r="K67" s="101">
        <v>11.917</v>
      </c>
      <c r="L67" s="100">
        <v>0</v>
      </c>
      <c r="M67" s="101">
        <v>35.798667999999999</v>
      </c>
      <c r="N67" s="101">
        <v>0</v>
      </c>
      <c r="O67" s="99">
        <v>35.798667999999999</v>
      </c>
      <c r="P67" s="101">
        <v>130.06399999999999</v>
      </c>
      <c r="Q67" s="99">
        <v>27.52</v>
      </c>
    </row>
    <row r="68" spans="1:17" ht="24.75" customHeight="1" x14ac:dyDescent="0.25">
      <c r="A68" s="47" t="s">
        <v>25</v>
      </c>
      <c r="B68" s="71">
        <v>18</v>
      </c>
      <c r="C68" s="72">
        <v>82.7</v>
      </c>
      <c r="D68" s="76">
        <v>53.207999999999998</v>
      </c>
      <c r="E68" s="71">
        <v>0</v>
      </c>
      <c r="F68" s="72">
        <v>0</v>
      </c>
      <c r="G68" s="72">
        <v>0</v>
      </c>
      <c r="H68" s="67">
        <v>0</v>
      </c>
      <c r="I68" s="73">
        <v>139.453</v>
      </c>
      <c r="J68" s="74">
        <v>0</v>
      </c>
      <c r="K68" s="74">
        <v>139.453</v>
      </c>
      <c r="L68" s="73">
        <v>0</v>
      </c>
      <c r="M68" s="74">
        <v>418.91681199999999</v>
      </c>
      <c r="N68" s="74">
        <v>0</v>
      </c>
      <c r="O68" s="67">
        <v>418.91681199999999</v>
      </c>
      <c r="P68" s="74">
        <v>1170.576</v>
      </c>
      <c r="Q68" s="67">
        <v>35.79</v>
      </c>
    </row>
    <row r="69" spans="1:17" ht="24.75" customHeight="1" x14ac:dyDescent="0.25">
      <c r="A69" s="48" t="s">
        <v>26</v>
      </c>
      <c r="B69" s="96">
        <v>16</v>
      </c>
      <c r="C69" s="97">
        <v>72.2</v>
      </c>
      <c r="D69" s="98">
        <v>47.295999999999999</v>
      </c>
      <c r="E69" s="96">
        <v>0</v>
      </c>
      <c r="F69" s="97">
        <v>0</v>
      </c>
      <c r="G69" s="97">
        <v>0</v>
      </c>
      <c r="H69" s="99">
        <v>0</v>
      </c>
      <c r="I69" s="100">
        <v>122.932</v>
      </c>
      <c r="J69" s="101">
        <v>0</v>
      </c>
      <c r="K69" s="101">
        <v>122.932</v>
      </c>
      <c r="L69" s="100">
        <v>0</v>
      </c>
      <c r="M69" s="101">
        <v>369.28772800000002</v>
      </c>
      <c r="N69" s="101">
        <v>0</v>
      </c>
      <c r="O69" s="99">
        <v>369.28772800000002</v>
      </c>
      <c r="P69" s="101">
        <v>1040.5119999999999</v>
      </c>
      <c r="Q69" s="99">
        <v>35.49</v>
      </c>
    </row>
    <row r="70" spans="1:17" ht="24.75" customHeight="1" x14ac:dyDescent="0.25">
      <c r="A70" s="47" t="s">
        <v>27</v>
      </c>
      <c r="B70" s="71">
        <v>24</v>
      </c>
      <c r="C70" s="72">
        <v>107.2</v>
      </c>
      <c r="D70" s="76">
        <v>71.040000000000006</v>
      </c>
      <c r="E70" s="71">
        <v>0</v>
      </c>
      <c r="F70" s="72">
        <v>0</v>
      </c>
      <c r="G70" s="72">
        <v>0</v>
      </c>
      <c r="H70" s="67">
        <v>0</v>
      </c>
      <c r="I70" s="73">
        <v>201.63800000000001</v>
      </c>
      <c r="J70" s="74">
        <v>0</v>
      </c>
      <c r="K70" s="74">
        <v>201.63800000000001</v>
      </c>
      <c r="L70" s="73">
        <v>0</v>
      </c>
      <c r="M70" s="74">
        <v>605.65248799999995</v>
      </c>
      <c r="N70" s="74">
        <v>0</v>
      </c>
      <c r="O70" s="67">
        <v>605.65248799999995</v>
      </c>
      <c r="P70" s="74">
        <v>1562.88</v>
      </c>
      <c r="Q70" s="67">
        <v>38.75</v>
      </c>
    </row>
    <row r="71" spans="1:17" ht="24.75" customHeight="1" x14ac:dyDescent="0.25">
      <c r="A71" s="48" t="s">
        <v>28</v>
      </c>
      <c r="B71" s="96">
        <v>22</v>
      </c>
      <c r="C71" s="97">
        <v>97.3</v>
      </c>
      <c r="D71" s="98">
        <v>65.124399999999994</v>
      </c>
      <c r="E71" s="96">
        <v>0</v>
      </c>
      <c r="F71" s="97">
        <v>0</v>
      </c>
      <c r="G71" s="97">
        <v>0</v>
      </c>
      <c r="H71" s="99">
        <v>0</v>
      </c>
      <c r="I71" s="100">
        <v>202.60599999999999</v>
      </c>
      <c r="J71" s="101">
        <v>0</v>
      </c>
      <c r="K71" s="101">
        <v>202.60599999999999</v>
      </c>
      <c r="L71" s="100">
        <v>0</v>
      </c>
      <c r="M71" s="101">
        <v>607.09223529999997</v>
      </c>
      <c r="N71" s="101">
        <v>0</v>
      </c>
      <c r="O71" s="99">
        <v>607.09223529999997</v>
      </c>
      <c r="P71" s="101">
        <v>1432.7367999999999</v>
      </c>
      <c r="Q71" s="99">
        <v>42.37</v>
      </c>
    </row>
    <row r="72" spans="1:17" ht="24.75" customHeight="1" x14ac:dyDescent="0.25">
      <c r="A72" s="47" t="s">
        <v>29</v>
      </c>
      <c r="B72" s="77">
        <v>14</v>
      </c>
      <c r="C72" s="78">
        <v>63</v>
      </c>
      <c r="D72" s="79">
        <v>41.381900000000002</v>
      </c>
      <c r="E72" s="77">
        <v>0</v>
      </c>
      <c r="F72" s="78">
        <v>0</v>
      </c>
      <c r="G72" s="78">
        <v>0</v>
      </c>
      <c r="H72" s="80">
        <v>0</v>
      </c>
      <c r="I72" s="81">
        <v>130.035</v>
      </c>
      <c r="J72" s="82">
        <v>0</v>
      </c>
      <c r="K72" s="82">
        <v>130.035</v>
      </c>
      <c r="L72" s="81">
        <v>0</v>
      </c>
      <c r="M72" s="82">
        <v>389.30087850000001</v>
      </c>
      <c r="N72" s="82">
        <v>0</v>
      </c>
      <c r="O72" s="80">
        <v>389.30087850000001</v>
      </c>
      <c r="P72" s="82">
        <v>910.40179999999998</v>
      </c>
      <c r="Q72" s="80">
        <v>42.76</v>
      </c>
    </row>
    <row r="73" spans="1:17" ht="34.5" customHeight="1" x14ac:dyDescent="0.25">
      <c r="A73" s="86" t="s">
        <v>30</v>
      </c>
      <c r="B73" s="87">
        <f t="shared" ref="B73:G73" si="6">IFERROR(SUM(B61:B72),"")</f>
        <v>104</v>
      </c>
      <c r="C73" s="87">
        <f t="shared" si="6"/>
        <v>467.91666666666663</v>
      </c>
      <c r="D73" s="87">
        <f t="shared" si="6"/>
        <v>306.78930000000003</v>
      </c>
      <c r="E73" s="87">
        <f t="shared" si="6"/>
        <v>0</v>
      </c>
      <c r="F73" s="87">
        <f t="shared" si="6"/>
        <v>0</v>
      </c>
      <c r="G73" s="87">
        <f t="shared" si="6"/>
        <v>0</v>
      </c>
      <c r="H73" s="88" t="str">
        <f>IFERROR(F73/G73*100,"")</f>
        <v/>
      </c>
      <c r="I73" s="88">
        <f t="shared" ref="I73:P73" si="7">IFERROR(SUM(I61:I72),"")</f>
        <v>862.77599999999995</v>
      </c>
      <c r="J73" s="88">
        <f t="shared" si="7"/>
        <v>0</v>
      </c>
      <c r="K73" s="88">
        <f t="shared" si="7"/>
        <v>862.77599999999995</v>
      </c>
      <c r="L73" s="88">
        <f t="shared" si="7"/>
        <v>0</v>
      </c>
      <c r="M73" s="88">
        <f t="shared" si="7"/>
        <v>2588.8505898000003</v>
      </c>
      <c r="N73" s="88">
        <f t="shared" si="7"/>
        <v>0</v>
      </c>
      <c r="O73" s="88">
        <f t="shared" si="7"/>
        <v>2588.8505898000003</v>
      </c>
      <c r="P73" s="88">
        <f t="shared" si="7"/>
        <v>6749.3645999999999</v>
      </c>
      <c r="Q73" s="88">
        <f>IFERROR(O73/P73*100,"")</f>
        <v>38.356952738928939</v>
      </c>
    </row>
    <row r="74" spans="1:17" ht="15.75" x14ac:dyDescent="0.25">
      <c r="A74" s="136" t="s">
        <v>43</v>
      </c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2026-02-06T06:43:12Z</dcterms:modified>
</cp:coreProperties>
</file>