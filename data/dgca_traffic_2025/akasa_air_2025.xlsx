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Q73" i="1" l="1"/>
  <c r="P73" i="1"/>
  <c r="O73" i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  <c r="Q54" i="1" l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<sst xmlns="http://schemas.openxmlformats.org/spreadsheetml/2006/main" count="157" uniqueCount="44">
  <si>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</si>
  <si>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</si>
  <si>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</si>
  <si>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</si>
  <si>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</si>
  <si>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</si>
  <si>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</si>
  <si>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</si>
  <si>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</si>
  <si>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</si>
  <si>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</si>
  <si>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</si>
  <si>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</si>
  <si>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</si>
  <si>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</si>
  <si>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</si>
  <si>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</si>
  <si>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</si>
  <si>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</si>
  <si>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</si>
  <si>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</si>
  <si>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</si>
  <si>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</si>
  <si>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</si>
  <si>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</si>
  <si>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</si>
  <si>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</si>
  <si>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</si>
  <si>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</si>
  <si>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</si>
  <si>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</si>
  <si>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</si>
  <si>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</si>
  <si>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</si>
  <si>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</si>
  <si>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</si>
  <si>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</si>
  <si>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</si>
  <si>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</si>
  <si>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</si>
  <si>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</si>
  <si>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AKASA AIR</t>
  </si>
  <si>
    <t>2025</t>
  </si>
  <si>
    <t>SOURCE:-ICAO ATR FORM A FURNISHED BY AKASA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</si>
</sst>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55" zoomScaleNormal="85" zoomScaleSheetLayoutView="55" workbookViewId="0">
      <selection activeCell="B51" sqref="B51:Q51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54" t="s">
        <v>42</v>
      </c>
      <c r="B1" s="155"/>
      <c r="C1" s="156" t="s">
        <v>0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 t="s">
        <v>41</v>
      </c>
      <c r="P1" s="157"/>
      <c r="Q1" s="158"/>
    </row>
    <row r="2" spans="1:17" ht="49.5" customHeight="1" x14ac:dyDescent="0.25">
      <c r="A2" s="159" t="s">
        <v>1</v>
      </c>
      <c r="B2" s="161" t="s">
        <v>2</v>
      </c>
      <c r="C2" s="161"/>
      <c r="D2" s="161"/>
      <c r="E2" s="162" t="s">
        <v>3</v>
      </c>
      <c r="F2" s="162" t="s">
        <v>4</v>
      </c>
      <c r="G2" s="162" t="s">
        <v>5</v>
      </c>
      <c r="H2" s="162" t="s">
        <v>37</v>
      </c>
      <c r="I2" s="161" t="s">
        <v>6</v>
      </c>
      <c r="J2" s="161"/>
      <c r="K2" s="161"/>
      <c r="L2" s="161" t="s">
        <v>7</v>
      </c>
      <c r="M2" s="161"/>
      <c r="N2" s="161"/>
      <c r="O2" s="161"/>
      <c r="P2" s="162" t="s">
        <v>8</v>
      </c>
      <c r="Q2" s="162" t="s">
        <v>38</v>
      </c>
    </row>
    <row r="3" spans="1:17" ht="155.25" customHeight="1" x14ac:dyDescent="0.25">
      <c r="A3" s="160"/>
      <c r="B3" s="42" t="s">
        <v>9</v>
      </c>
      <c r="C3" s="42" t="s">
        <v>10</v>
      </c>
      <c r="D3" s="42" t="s">
        <v>11</v>
      </c>
      <c r="E3" s="162"/>
      <c r="F3" s="162"/>
      <c r="G3" s="162"/>
      <c r="H3" s="162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62"/>
      <c r="Q3" s="162"/>
    </row>
    <row r="4" spans="1:17" ht="23.1" customHeight="1" x14ac:dyDescent="0.25">
      <c r="A4" s="20" t="s">
        <v>19</v>
      </c>
      <c r="B4" s="21">
        <v>3902</v>
      </c>
      <c r="C4" s="21">
        <v>8808.4</v>
      </c>
      <c r="D4" s="22">
        <v>4614.1859999999997</v>
      </c>
      <c r="E4" s="23">
        <v>685848</v>
      </c>
      <c r="F4" s="21">
        <v>815423.19900000002</v>
      </c>
      <c r="G4" s="21">
        <v>869504.25300000003</v>
      </c>
      <c r="H4" s="25">
        <v>93.78</v>
      </c>
      <c r="I4" s="26">
        <v>4214.3662599999998</v>
      </c>
      <c r="J4" s="27">
        <v>299.36882000000003</v>
      </c>
      <c r="K4" s="25">
        <v>4513.7350800000004</v>
      </c>
      <c r="L4" s="26">
        <v>68264.061709999994</v>
      </c>
      <c r="M4" s="27">
        <v>4912.4528</v>
      </c>
      <c r="N4" s="27">
        <v>372.79221000000001</v>
      </c>
      <c r="O4" s="25">
        <v>73549.306719999993</v>
      </c>
      <c r="P4" s="27">
        <v>94618.498049999995</v>
      </c>
      <c r="Q4" s="25">
        <v>77.73</v>
      </c>
    </row>
    <row r="5" spans="1:17" ht="23.1" customHeight="1" x14ac:dyDescent="0.25">
      <c r="A5" s="43" t="s">
        <v>20</v>
      </c>
      <c r="B5" s="64">
        <v>3681</v>
      </c>
      <c r="C5" s="64">
        <v>8332.6166666666704</v>
      </c>
      <c r="D5" s="53">
        <v>4375.1840000000002</v>
      </c>
      <c r="E5" s="75">
        <v>657633</v>
      </c>
      <c r="F5" s="64">
        <v>785475.804</v>
      </c>
      <c r="G5" s="64">
        <v>825474.44</v>
      </c>
      <c r="H5" s="84">
        <v>95.15</v>
      </c>
      <c r="I5" s="93">
        <v>3886.2806599999999</v>
      </c>
      <c r="J5" s="102">
        <v>246.53446</v>
      </c>
      <c r="K5" s="84">
        <v>4132.8151200000002</v>
      </c>
      <c r="L5" s="93">
        <v>65548.788350000003</v>
      </c>
      <c r="M5" s="102">
        <v>4507.29126</v>
      </c>
      <c r="N5" s="102">
        <v>311.52238999999997</v>
      </c>
      <c r="O5" s="84">
        <v>70367.601999999999</v>
      </c>
      <c r="P5" s="102">
        <v>89717.523119999998</v>
      </c>
      <c r="Q5" s="84">
        <v>78.430000000000007</v>
      </c>
    </row>
    <row r="6" spans="1:17" ht="23.1" customHeight="1" x14ac:dyDescent="0.25">
      <c r="A6" s="45" t="s">
        <v>21</v>
      </c>
      <c r="B6" s="29">
        <v>4135</v>
      </c>
      <c r="C6" s="29">
        <v>9346.6166666666704</v>
      </c>
      <c r="D6" s="28">
        <v>4910.7060000000001</v>
      </c>
      <c r="E6" s="30">
        <v>719271</v>
      </c>
      <c r="F6" s="29">
        <v>857586.72100000002</v>
      </c>
      <c r="G6" s="29">
        <v>927060.68200000003</v>
      </c>
      <c r="H6" s="31">
        <v>92.51</v>
      </c>
      <c r="I6" s="32">
        <v>4614.3786600000003</v>
      </c>
      <c r="J6" s="33">
        <v>241.60654</v>
      </c>
      <c r="K6" s="31">
        <v>4855.9852000000001</v>
      </c>
      <c r="L6" s="32">
        <v>71112.327850000001</v>
      </c>
      <c r="M6" s="33">
        <v>5296.5599099999999</v>
      </c>
      <c r="N6" s="33">
        <v>299.65176000000002</v>
      </c>
      <c r="O6" s="31">
        <v>76708.539520000006</v>
      </c>
      <c r="P6" s="33">
        <v>100698.93724</v>
      </c>
      <c r="Q6" s="31">
        <v>76.180000000000007</v>
      </c>
    </row>
    <row r="7" spans="1:17" ht="23.1" customHeight="1" x14ac:dyDescent="0.25">
      <c r="A7" s="43" t="s">
        <v>22</v>
      </c>
      <c r="B7" s="64">
        <v>4066</v>
      </c>
      <c r="C7" s="64">
        <v>9258.3833333333296</v>
      </c>
      <c r="D7" s="53">
        <v>4844.768</v>
      </c>
      <c r="E7" s="75">
        <v>712182</v>
      </c>
      <c r="F7" s="64">
        <v>849462.02500000002</v>
      </c>
      <c r="G7" s="64">
        <v>913082.38800000004</v>
      </c>
      <c r="H7" s="84">
        <v>93.03</v>
      </c>
      <c r="I7" s="93">
        <v>4516.8662800000002</v>
      </c>
      <c r="J7" s="102">
        <v>210.17232000000001</v>
      </c>
      <c r="K7" s="84">
        <v>4727.0385999999999</v>
      </c>
      <c r="L7" s="93">
        <v>70047.589420000004</v>
      </c>
      <c r="M7" s="102">
        <v>5313.3524600000001</v>
      </c>
      <c r="N7" s="102">
        <v>261.62178999999998</v>
      </c>
      <c r="O7" s="84">
        <v>75622.563670000003</v>
      </c>
      <c r="P7" s="102">
        <v>99346.812640000004</v>
      </c>
      <c r="Q7" s="84">
        <v>76.12</v>
      </c>
    </row>
    <row r="8" spans="1:17" ht="30" customHeight="1" x14ac:dyDescent="0.25">
      <c r="A8" s="45" t="s">
        <v>23</v>
      </c>
      <c r="B8" s="29">
        <v>4343</v>
      </c>
      <c r="C8" s="29">
        <v>9917.9666666666708</v>
      </c>
      <c r="D8" s="28">
        <v>5195.4750000000004</v>
      </c>
      <c r="E8" s="30">
        <v>746531</v>
      </c>
      <c r="F8" s="29">
        <v>895399.36699999997</v>
      </c>
      <c r="G8" s="29">
        <v>978991.73400000005</v>
      </c>
      <c r="H8" s="31">
        <v>91.46</v>
      </c>
      <c r="I8" s="32">
        <v>4783.15128</v>
      </c>
      <c r="J8" s="33">
        <v>248.00163000000001</v>
      </c>
      <c r="K8" s="31">
        <v>5031.1529099999998</v>
      </c>
      <c r="L8" s="32">
        <v>71473.994860000006</v>
      </c>
      <c r="M8" s="33">
        <v>5798.4620199999999</v>
      </c>
      <c r="N8" s="33">
        <v>304.66728000000001</v>
      </c>
      <c r="O8" s="31">
        <v>77577.124160000007</v>
      </c>
      <c r="P8" s="33">
        <v>106538.41035000001</v>
      </c>
      <c r="Q8" s="31">
        <v>72.819999999999993</v>
      </c>
    </row>
    <row r="9" spans="1:17" ht="23.1" customHeight="1" x14ac:dyDescent="0.25">
      <c r="A9" s="43" t="s">
        <v>39</v>
      </c>
      <c r="B9" s="64">
        <v>4210</v>
      </c>
      <c r="C9" s="64">
        <v>9565.7000000000007</v>
      </c>
      <c r="D9" s="53">
        <v>5022.9160000000002</v>
      </c>
      <c r="E9" s="75">
        <v>722093</v>
      </c>
      <c r="F9" s="64">
        <v>867159.53399999999</v>
      </c>
      <c r="G9" s="64">
        <v>949065.33200000005</v>
      </c>
      <c r="H9" s="84">
        <v>91.37</v>
      </c>
      <c r="I9" s="93">
        <v>4834.19272</v>
      </c>
      <c r="J9" s="102">
        <v>238.76074</v>
      </c>
      <c r="K9" s="84">
        <v>5072.9534599999997</v>
      </c>
      <c r="L9" s="93">
        <v>71786.096260000006</v>
      </c>
      <c r="M9" s="102">
        <v>5860.8992699999999</v>
      </c>
      <c r="N9" s="102">
        <v>286.58249000000001</v>
      </c>
      <c r="O9" s="84">
        <v>77933.578020000001</v>
      </c>
      <c r="P9" s="102">
        <v>102999.91549</v>
      </c>
      <c r="Q9" s="84">
        <v>75.66</v>
      </c>
    </row>
    <row r="10" spans="1:17" ht="23.1" customHeight="1" x14ac:dyDescent="0.25">
      <c r="A10" s="45" t="s">
        <v>24</v>
      </c>
      <c r="B10" s="29">
        <v>4105</v>
      </c>
      <c r="C10" s="29">
        <v>9377.1</v>
      </c>
      <c r="D10" s="28">
        <v>5006.9740000000002</v>
      </c>
      <c r="E10" s="30">
        <v>697509</v>
      </c>
      <c r="F10" s="29">
        <v>854276.76300000004</v>
      </c>
      <c r="G10" s="29">
        <v>947357.47400000005</v>
      </c>
      <c r="H10" s="31">
        <v>90.17</v>
      </c>
      <c r="I10" s="32">
        <v>5269.3931599999996</v>
      </c>
      <c r="J10" s="33">
        <v>230.20334</v>
      </c>
      <c r="K10" s="31">
        <v>5499.5964999999997</v>
      </c>
      <c r="L10" s="32">
        <v>70856.271489999999</v>
      </c>
      <c r="M10" s="33">
        <v>6691.4282800000001</v>
      </c>
      <c r="N10" s="33">
        <v>279.97275000000002</v>
      </c>
      <c r="O10" s="31">
        <v>77827.672519999993</v>
      </c>
      <c r="P10" s="33">
        <v>102673.00883999999</v>
      </c>
      <c r="Q10" s="31">
        <v>75.8</v>
      </c>
    </row>
    <row r="11" spans="1:17" ht="23.1" customHeight="1" x14ac:dyDescent="0.25">
      <c r="A11" s="43" t="s">
        <v>25</v>
      </c>
      <c r="B11" s="64">
        <v>4121</v>
      </c>
      <c r="C11" s="64">
        <v>9397.35</v>
      </c>
      <c r="D11" s="53">
        <v>5021.2969999999996</v>
      </c>
      <c r="E11" s="75">
        <v>702582</v>
      </c>
      <c r="F11" s="64">
        <v>863571.81200000003</v>
      </c>
      <c r="G11" s="64">
        <v>949268.47</v>
      </c>
      <c r="H11" s="84">
        <v>90.97</v>
      </c>
      <c r="I11" s="93">
        <v>5167.4403599999996</v>
      </c>
      <c r="J11" s="102">
        <v>200.60584</v>
      </c>
      <c r="K11" s="84">
        <v>5368.0461999999998</v>
      </c>
      <c r="L11" s="93">
        <v>71492.190969999996</v>
      </c>
      <c r="M11" s="102">
        <v>6603.5360199999996</v>
      </c>
      <c r="N11" s="102">
        <v>248.71333999999999</v>
      </c>
      <c r="O11" s="84">
        <v>78344.440329999998</v>
      </c>
      <c r="P11" s="102">
        <v>102966.71626</v>
      </c>
      <c r="Q11" s="84">
        <v>76.09</v>
      </c>
    </row>
    <row r="12" spans="1:17" ht="23.1" customHeight="1" x14ac:dyDescent="0.25">
      <c r="A12" s="45" t="s">
        <v>26</v>
      </c>
      <c r="B12" s="29">
        <v>3857</v>
      </c>
      <c r="C12" s="29">
        <v>8756.5833333333303</v>
      </c>
      <c r="D12" s="28">
        <v>4608.8270000000002</v>
      </c>
      <c r="E12" s="30">
        <v>664811</v>
      </c>
      <c r="F12" s="29">
        <v>800331.39</v>
      </c>
      <c r="G12" s="29">
        <v>871930.26599999995</v>
      </c>
      <c r="H12" s="31">
        <v>91.79</v>
      </c>
      <c r="I12" s="32">
        <v>4878.7340999999997</v>
      </c>
      <c r="J12" s="33">
        <v>214.6326</v>
      </c>
      <c r="K12" s="31">
        <v>5093.3666999999996</v>
      </c>
      <c r="L12" s="32">
        <v>66284.401700000002</v>
      </c>
      <c r="M12" s="33">
        <v>5995.4814699999997</v>
      </c>
      <c r="N12" s="33">
        <v>262.71469999999999</v>
      </c>
      <c r="O12" s="31">
        <v>72542.597869999998</v>
      </c>
      <c r="P12" s="33">
        <v>94508.606450000007</v>
      </c>
      <c r="Q12" s="31">
        <v>76.760000000000005</v>
      </c>
    </row>
    <row r="13" spans="1:17" ht="23.1" customHeight="1" x14ac:dyDescent="0.25">
      <c r="A13" s="43" t="s">
        <v>27</v>
      </c>
      <c r="B13" s="64">
        <v>4230</v>
      </c>
      <c r="C13" s="64">
        <v>9572.6165999999994</v>
      </c>
      <c r="D13" s="53">
        <v>5049.8760000000002</v>
      </c>
      <c r="E13" s="75">
        <v>724662</v>
      </c>
      <c r="F13" s="64">
        <v>871232.44400000002</v>
      </c>
      <c r="G13" s="64">
        <v>955334.63500000001</v>
      </c>
      <c r="H13" s="84">
        <v>91.2</v>
      </c>
      <c r="I13" s="93">
        <v>5046.6001100000003</v>
      </c>
      <c r="J13" s="102">
        <v>243.24211</v>
      </c>
      <c r="K13" s="84">
        <v>5289.8422200000005</v>
      </c>
      <c r="L13" s="93">
        <v>70155.778470000005</v>
      </c>
      <c r="M13" s="102">
        <v>6243.5478400000002</v>
      </c>
      <c r="N13" s="102">
        <v>298.90854999999999</v>
      </c>
      <c r="O13" s="84">
        <v>76698.234859999997</v>
      </c>
      <c r="P13" s="102">
        <v>103552.75728000001</v>
      </c>
      <c r="Q13" s="84">
        <v>74.069999999999993</v>
      </c>
    </row>
    <row r="14" spans="1:17" ht="23.1" customHeight="1" x14ac:dyDescent="0.25">
      <c r="A14" s="45" t="s">
        <v>28</v>
      </c>
      <c r="B14" s="29">
        <v>4083</v>
      </c>
      <c r="C14" s="29">
        <v>9130.7833333333292</v>
      </c>
      <c r="D14" s="28">
        <v>4767.6109999999999</v>
      </c>
      <c r="E14" s="30">
        <v>721879</v>
      </c>
      <c r="F14" s="29">
        <v>847569.56200000003</v>
      </c>
      <c r="G14" s="29">
        <v>903456.89599999995</v>
      </c>
      <c r="H14" s="31">
        <v>93.81</v>
      </c>
      <c r="I14" s="32">
        <v>5083.57845</v>
      </c>
      <c r="J14" s="33">
        <v>248.43254999999999</v>
      </c>
      <c r="K14" s="31">
        <v>5332.0110000000004</v>
      </c>
      <c r="L14" s="32">
        <v>70922.890969999993</v>
      </c>
      <c r="M14" s="33">
        <v>6501.19722</v>
      </c>
      <c r="N14" s="33">
        <v>312.52244999999999</v>
      </c>
      <c r="O14" s="31">
        <v>77736.610639999999</v>
      </c>
      <c r="P14" s="33">
        <v>97764.631160000004</v>
      </c>
      <c r="Q14" s="31">
        <v>79.510000000000005</v>
      </c>
    </row>
    <row r="15" spans="1:17" ht="23.1" customHeight="1" x14ac:dyDescent="0.25">
      <c r="A15" s="121" t="s">
        <v>29</v>
      </c>
      <c r="B15" s="2">
        <v>4117</v>
      </c>
      <c r="C15" s="2">
        <v>9187.1833333333307</v>
      </c>
      <c r="D15" s="13">
        <v>4743.9219999999996</v>
      </c>
      <c r="E15" s="24">
        <v>739061</v>
      </c>
      <c r="F15" s="2">
        <v>857367.26599999995</v>
      </c>
      <c r="G15" s="2">
        <v>899677.12</v>
      </c>
      <c r="H15" s="35">
        <v>95.3</v>
      </c>
      <c r="I15" s="44">
        <v>4954.2325499999997</v>
      </c>
      <c r="J15" s="49">
        <v>256.18601999999998</v>
      </c>
      <c r="K15" s="35">
        <v>5210.4185699999998</v>
      </c>
      <c r="L15" s="44">
        <v>71973.984649999999</v>
      </c>
      <c r="M15" s="49">
        <v>6292.4074000000001</v>
      </c>
      <c r="N15" s="49">
        <v>326.20999999999998</v>
      </c>
      <c r="O15" s="35">
        <v>78592.602050000001</v>
      </c>
      <c r="P15" s="102">
        <v>97278.864560000002</v>
      </c>
      <c r="Q15" s="84">
        <v>80.790000000000006</v>
      </c>
    </row>
    <row r="16" spans="1:17" ht="23.1" customHeight="1" x14ac:dyDescent="0.25">
      <c r="A16" s="34" t="s">
        <v>30</v>
      </c>
      <c r="B16" s="36">
        <f t="shared" ref="B16:G16" si="0">IFERROR(SUM(B4:B15),"")</f>
        <v>48850</v>
      </c>
      <c r="C16" s="36">
        <f t="shared" si="0"/>
        <v>110651.29993333331</v>
      </c>
      <c r="D16" s="36">
        <f t="shared" si="0"/>
        <v>58161.741999999984</v>
      </c>
      <c r="E16" s="36">
        <f t="shared" si="0"/>
        <v>8494062</v>
      </c>
      <c r="F16" s="36">
        <f t="shared" si="0"/>
        <v>10164855.887</v>
      </c>
      <c r="G16" s="36">
        <f t="shared" si="0"/>
        <v>10990203.689999999</v>
      </c>
      <c r="H16" s="37">
        <f>IFERROR(F16/G16*100,"")</f>
        <v>92.490150080193828</v>
      </c>
      <c r="I16" s="37">
        <f t="shared" ref="I16:P16" si="1">IFERROR(SUM(I4:I15),"")</f>
        <v>57249.214590000003</v>
      </c>
      <c r="J16" s="37">
        <f t="shared" si="1"/>
        <v>2877.7469700000001</v>
      </c>
      <c r="K16" s="37">
        <f t="shared" si="1"/>
        <v>60126.961559999996</v>
      </c>
      <c r="L16" s="37">
        <f t="shared" si="1"/>
        <v>839918.37670000002</v>
      </c>
      <c r="M16" s="37">
        <f t="shared" si="1"/>
        <v>70016.615950000007</v>
      </c>
      <c r="N16" s="37">
        <f t="shared" si="1"/>
        <v>3565.8797099999997</v>
      </c>
      <c r="O16" s="37">
        <f t="shared" si="1"/>
        <v>913500.87235999992</v>
      </c>
      <c r="P16" s="38">
        <f t="shared" si="1"/>
        <v>1192664.68144</v>
      </c>
      <c r="Q16" s="38">
        <f>IFERROR(O16/P16*100,"")</f>
        <v>76.593269388765407</v>
      </c>
    </row>
    <row r="17" spans="1:17" ht="20.100000000000001" customHeight="1" x14ac:dyDescent="0.25">
      <c r="A17" s="136" t="s">
        <v>43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46" t="s">
        <v>42</v>
      </c>
      <c r="B20" s="147"/>
      <c r="C20" s="148" t="s">
        <v>33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9" t="s">
        <v>41</v>
      </c>
      <c r="P20" s="149"/>
      <c r="Q20" s="150"/>
    </row>
    <row r="21" spans="1:17" ht="51" customHeight="1" x14ac:dyDescent="0.25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37</v>
      </c>
      <c r="I21" s="151" t="s">
        <v>6</v>
      </c>
      <c r="J21" s="151"/>
      <c r="K21" s="151"/>
      <c r="L21" s="151" t="s">
        <v>7</v>
      </c>
      <c r="M21" s="151"/>
      <c r="N21" s="151"/>
      <c r="O21" s="151"/>
      <c r="P21" s="152" t="s">
        <v>8</v>
      </c>
      <c r="Q21" s="152" t="s">
        <v>38</v>
      </c>
    </row>
    <row r="22" spans="1:17" ht="150.75" customHeight="1" x14ac:dyDescent="0.25">
      <c r="A22" s="151"/>
      <c r="B22" s="19" t="s">
        <v>9</v>
      </c>
      <c r="C22" s="19" t="s">
        <v>10</v>
      </c>
      <c r="D22" s="19" t="s">
        <v>11</v>
      </c>
      <c r="E22" s="152"/>
      <c r="F22" s="152"/>
      <c r="G22" s="152"/>
      <c r="H22" s="152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53"/>
      <c r="Q22" s="153"/>
    </row>
    <row r="23" spans="1:17" ht="23.1" customHeight="1" x14ac:dyDescent="0.25">
      <c r="A23" s="15" t="s">
        <v>19</v>
      </c>
      <c r="B23" s="7">
        <v>310</v>
      </c>
      <c r="C23" s="8">
        <v>1406</v>
      </c>
      <c r="D23" s="9">
        <v>882.7</v>
      </c>
      <c r="E23" s="7">
        <v>47598</v>
      </c>
      <c r="F23" s="8">
        <v>136780.29999999999</v>
      </c>
      <c r="G23" s="8">
        <v>165253.245</v>
      </c>
      <c r="H23" s="10">
        <v>82.77</v>
      </c>
      <c r="I23" s="11">
        <v>131.06233</v>
      </c>
      <c r="J23" s="11">
        <v>0</v>
      </c>
      <c r="K23" s="11">
        <v>131.06233</v>
      </c>
      <c r="L23" s="12">
        <v>12791.68136</v>
      </c>
      <c r="M23" s="11">
        <v>349.12130999999999</v>
      </c>
      <c r="N23" s="11">
        <v>0</v>
      </c>
      <c r="O23" s="14">
        <v>13140.802669999999</v>
      </c>
      <c r="P23" s="12">
        <v>18100.646199999999</v>
      </c>
      <c r="Q23" s="14">
        <v>72.599999999999994</v>
      </c>
    </row>
    <row r="24" spans="1:17" ht="23.1" customHeight="1" x14ac:dyDescent="0.25">
      <c r="A24" s="51" t="s">
        <v>20</v>
      </c>
      <c r="B24" s="51">
        <v>270</v>
      </c>
      <c r="C24" s="50">
        <v>1235.36666666667</v>
      </c>
      <c r="D24" s="52">
        <v>771.48599999999999</v>
      </c>
      <c r="E24" s="51">
        <v>41175</v>
      </c>
      <c r="F24" s="50">
        <v>119527.553</v>
      </c>
      <c r="G24" s="50">
        <v>144244.82399999999</v>
      </c>
      <c r="H24" s="54">
        <v>82.86</v>
      </c>
      <c r="I24" s="55">
        <v>132.85900000000001</v>
      </c>
      <c r="J24" s="55">
        <v>0</v>
      </c>
      <c r="K24" s="55">
        <v>132.85900000000001</v>
      </c>
      <c r="L24" s="56">
        <v>11252.685530000001</v>
      </c>
      <c r="M24" s="55">
        <v>354.91395</v>
      </c>
      <c r="N24" s="55">
        <v>0</v>
      </c>
      <c r="O24" s="54">
        <v>11607.599480000001</v>
      </c>
      <c r="P24" s="56">
        <v>15820.091920000001</v>
      </c>
      <c r="Q24" s="54">
        <v>73.37</v>
      </c>
    </row>
    <row r="25" spans="1:17" ht="23.1" customHeight="1" x14ac:dyDescent="0.25">
      <c r="A25" s="15" t="s">
        <v>21</v>
      </c>
      <c r="B25" s="15">
        <v>363</v>
      </c>
      <c r="C25" s="6">
        <v>1484.2</v>
      </c>
      <c r="D25" s="16">
        <v>931.18899999999996</v>
      </c>
      <c r="E25" s="15">
        <v>47170</v>
      </c>
      <c r="F25" s="6">
        <v>120928.217</v>
      </c>
      <c r="G25" s="6">
        <v>173934.70800000001</v>
      </c>
      <c r="H25" s="10">
        <v>69.53</v>
      </c>
      <c r="I25" s="17">
        <v>140.88999000000001</v>
      </c>
      <c r="J25" s="17">
        <v>0</v>
      </c>
      <c r="K25" s="17">
        <v>140.88999000000001</v>
      </c>
      <c r="L25" s="18">
        <v>11441.1104</v>
      </c>
      <c r="M25" s="17">
        <v>362.46030999999999</v>
      </c>
      <c r="N25" s="17">
        <v>0</v>
      </c>
      <c r="O25" s="10">
        <v>11803.57071</v>
      </c>
      <c r="P25" s="18">
        <v>19094.961640000001</v>
      </c>
      <c r="Q25" s="10">
        <v>61.82</v>
      </c>
    </row>
    <row r="26" spans="1:17" ht="23.1" customHeight="1" x14ac:dyDescent="0.25">
      <c r="A26" s="51" t="s">
        <v>22</v>
      </c>
      <c r="B26" s="51">
        <v>370</v>
      </c>
      <c r="C26" s="50">
        <v>1507.8</v>
      </c>
      <c r="D26" s="52">
        <v>972.96799999999996</v>
      </c>
      <c r="E26" s="51">
        <v>48945</v>
      </c>
      <c r="F26" s="50">
        <v>130883.913</v>
      </c>
      <c r="G26" s="50">
        <v>183714.68299999999</v>
      </c>
      <c r="H26" s="54">
        <v>71.239999999999995</v>
      </c>
      <c r="I26" s="55">
        <v>100.108</v>
      </c>
      <c r="J26" s="55">
        <v>0</v>
      </c>
      <c r="K26" s="55">
        <v>100.108</v>
      </c>
      <c r="L26" s="56">
        <v>12403.004000000001</v>
      </c>
      <c r="M26" s="55">
        <v>259.86112000000003</v>
      </c>
      <c r="N26" s="55">
        <v>0</v>
      </c>
      <c r="O26" s="54">
        <v>12662.86512</v>
      </c>
      <c r="P26" s="56">
        <v>19951.681820000002</v>
      </c>
      <c r="Q26" s="54">
        <v>63.47</v>
      </c>
    </row>
    <row r="27" spans="1:17" ht="30" customHeight="1" x14ac:dyDescent="0.25">
      <c r="A27" s="15" t="s">
        <v>23</v>
      </c>
      <c r="B27" s="15">
        <v>297</v>
      </c>
      <c r="C27" s="6">
        <v>1109</v>
      </c>
      <c r="D27" s="16">
        <v>699.80899999999997</v>
      </c>
      <c r="E27" s="15">
        <v>41240</v>
      </c>
      <c r="F27" s="6">
        <v>97187.895999999993</v>
      </c>
      <c r="G27" s="6">
        <v>133862.41399999999</v>
      </c>
      <c r="H27" s="10">
        <v>72.599999999999994</v>
      </c>
      <c r="I27" s="17">
        <v>116.258</v>
      </c>
      <c r="J27" s="17">
        <v>0</v>
      </c>
      <c r="K27" s="17">
        <v>116.258</v>
      </c>
      <c r="L27" s="18">
        <v>8840.3113499999999</v>
      </c>
      <c r="M27" s="17">
        <v>278.64992000000001</v>
      </c>
      <c r="N27" s="17">
        <v>0</v>
      </c>
      <c r="O27" s="10">
        <v>9118.9612699999998</v>
      </c>
      <c r="P27" s="18">
        <v>14350.283369999999</v>
      </c>
      <c r="Q27" s="10">
        <v>63.55</v>
      </c>
    </row>
    <row r="28" spans="1:17" ht="23.1" customHeight="1" x14ac:dyDescent="0.25">
      <c r="A28" s="51" t="s">
        <v>39</v>
      </c>
      <c r="B28" s="51">
        <v>326</v>
      </c>
      <c r="C28" s="50">
        <v>1259.18333333333</v>
      </c>
      <c r="D28" s="52">
        <v>808.33500000000004</v>
      </c>
      <c r="E28" s="51">
        <v>46571</v>
      </c>
      <c r="F28" s="50">
        <v>113289.128</v>
      </c>
      <c r="G28" s="50">
        <v>154379.61300000001</v>
      </c>
      <c r="H28" s="54">
        <v>73.38</v>
      </c>
      <c r="I28" s="55">
        <v>106.535</v>
      </c>
      <c r="J28" s="55">
        <v>0</v>
      </c>
      <c r="K28" s="55">
        <v>106.535</v>
      </c>
      <c r="L28" s="56">
        <v>10742.48065</v>
      </c>
      <c r="M28" s="55">
        <v>258.1721</v>
      </c>
      <c r="N28" s="55">
        <v>0</v>
      </c>
      <c r="O28" s="54">
        <v>11000.652749999999</v>
      </c>
      <c r="P28" s="56">
        <v>16575.717509999999</v>
      </c>
      <c r="Q28" s="54">
        <v>66.37</v>
      </c>
    </row>
    <row r="29" spans="1:17" ht="23.1" customHeight="1" x14ac:dyDescent="0.25">
      <c r="A29" s="15" t="s">
        <v>40</v>
      </c>
      <c r="B29" s="15">
        <v>504</v>
      </c>
      <c r="C29" s="6">
        <v>2177.7833333333301</v>
      </c>
      <c r="D29" s="16">
        <v>1430.4459999999999</v>
      </c>
      <c r="E29" s="15">
        <v>69079</v>
      </c>
      <c r="F29" s="6">
        <v>197808.67800000001</v>
      </c>
      <c r="G29" s="6">
        <v>272311.73700000002</v>
      </c>
      <c r="H29" s="10">
        <v>72.64</v>
      </c>
      <c r="I29" s="17">
        <v>137.31799000000001</v>
      </c>
      <c r="J29" s="17">
        <v>0</v>
      </c>
      <c r="K29" s="17">
        <v>137.31799000000001</v>
      </c>
      <c r="L29" s="18">
        <v>18692.888989999999</v>
      </c>
      <c r="M29" s="17">
        <v>361.53199999999998</v>
      </c>
      <c r="N29" s="17">
        <v>0</v>
      </c>
      <c r="O29" s="10">
        <v>19054.420989999999</v>
      </c>
      <c r="P29" s="18">
        <v>29332.72568</v>
      </c>
      <c r="Q29" s="10">
        <v>64.959999999999994</v>
      </c>
    </row>
    <row r="30" spans="1:17" ht="23.1" customHeight="1" x14ac:dyDescent="0.25">
      <c r="A30" s="51" t="s">
        <v>25</v>
      </c>
      <c r="B30" s="51">
        <v>528</v>
      </c>
      <c r="C30" s="50">
        <v>2345.9833333333299</v>
      </c>
      <c r="D30" s="52">
        <v>1527.3240000000001</v>
      </c>
      <c r="E30" s="51">
        <v>66548</v>
      </c>
      <c r="F30" s="50">
        <v>193152.30100000001</v>
      </c>
      <c r="G30" s="50">
        <v>291007.337</v>
      </c>
      <c r="H30" s="54">
        <v>66.37</v>
      </c>
      <c r="I30" s="55">
        <v>208.63800000000001</v>
      </c>
      <c r="J30" s="55">
        <v>0</v>
      </c>
      <c r="K30" s="55">
        <v>208.63800000000001</v>
      </c>
      <c r="L30" s="56">
        <v>18149.8367</v>
      </c>
      <c r="M30" s="55">
        <v>565.96821999999997</v>
      </c>
      <c r="N30" s="55">
        <v>0</v>
      </c>
      <c r="O30" s="54">
        <v>18715.804919999999</v>
      </c>
      <c r="P30" s="56">
        <v>31319.305919999999</v>
      </c>
      <c r="Q30" s="54">
        <v>59.76</v>
      </c>
    </row>
    <row r="31" spans="1:17" ht="23.1" customHeight="1" x14ac:dyDescent="0.25">
      <c r="A31" s="15" t="s">
        <v>26</v>
      </c>
      <c r="B31" s="15">
        <v>525</v>
      </c>
      <c r="C31" s="6">
        <v>2418.7166666666699</v>
      </c>
      <c r="D31" s="16">
        <v>1605.8150000000001</v>
      </c>
      <c r="E31" s="15">
        <v>70944</v>
      </c>
      <c r="F31" s="6">
        <v>219281.06599999999</v>
      </c>
      <c r="G31" s="6">
        <v>307270.51699999999</v>
      </c>
      <c r="H31" s="10">
        <v>71.36</v>
      </c>
      <c r="I31" s="17">
        <v>227.80805000000001</v>
      </c>
      <c r="J31" s="17">
        <v>0</v>
      </c>
      <c r="K31" s="17">
        <v>227.80805000000001</v>
      </c>
      <c r="L31" s="18">
        <v>20733.132130000002</v>
      </c>
      <c r="M31" s="17">
        <v>646.54840999999999</v>
      </c>
      <c r="N31" s="17">
        <v>0</v>
      </c>
      <c r="O31" s="10">
        <v>21379.680540000001</v>
      </c>
      <c r="P31" s="18">
        <v>32928.842389999998</v>
      </c>
      <c r="Q31" s="10">
        <v>64.930000000000007</v>
      </c>
    </row>
    <row r="32" spans="1:17" ht="23.1" customHeight="1" x14ac:dyDescent="0.25">
      <c r="A32" s="51" t="s">
        <v>27</v>
      </c>
      <c r="B32" s="51">
        <v>591</v>
      </c>
      <c r="C32" s="50">
        <v>2676.3332999999998</v>
      </c>
      <c r="D32" s="52">
        <v>1745.04</v>
      </c>
      <c r="E32" s="51">
        <v>82377</v>
      </c>
      <c r="F32" s="50">
        <v>242426.20199999999</v>
      </c>
      <c r="G32" s="50">
        <v>332684.07299999997</v>
      </c>
      <c r="H32" s="54">
        <v>72.87</v>
      </c>
      <c r="I32" s="55">
        <v>234.01900000000001</v>
      </c>
      <c r="J32" s="55">
        <v>0</v>
      </c>
      <c r="K32" s="55">
        <v>234.01900000000001</v>
      </c>
      <c r="L32" s="56">
        <v>21777.717270000001</v>
      </c>
      <c r="M32" s="55">
        <v>633.27851999999996</v>
      </c>
      <c r="N32" s="55">
        <v>0</v>
      </c>
      <c r="O32" s="54">
        <v>22410.995790000001</v>
      </c>
      <c r="P32" s="56">
        <v>35783.790260000002</v>
      </c>
      <c r="Q32" s="54">
        <v>62.63</v>
      </c>
    </row>
    <row r="33" spans="1:17" ht="23.1" customHeight="1" x14ac:dyDescent="0.25">
      <c r="A33" s="15" t="s">
        <v>28</v>
      </c>
      <c r="B33" s="15">
        <v>649</v>
      </c>
      <c r="C33" s="6">
        <v>2998.61666666667</v>
      </c>
      <c r="D33" s="16">
        <v>1932.318</v>
      </c>
      <c r="E33" s="15">
        <v>90865</v>
      </c>
      <c r="F33" s="6">
        <v>272092.41399999999</v>
      </c>
      <c r="G33" s="6">
        <v>364761.25</v>
      </c>
      <c r="H33" s="10">
        <v>74.59</v>
      </c>
      <c r="I33" s="17">
        <v>240.38929999999999</v>
      </c>
      <c r="J33" s="17">
        <v>0</v>
      </c>
      <c r="K33" s="17">
        <v>240.38929999999999</v>
      </c>
      <c r="L33" s="18">
        <v>25329.919320000001</v>
      </c>
      <c r="M33" s="17">
        <v>659.71256000000005</v>
      </c>
      <c r="N33" s="17">
        <v>0</v>
      </c>
      <c r="O33" s="10">
        <v>25989.631880000001</v>
      </c>
      <c r="P33" s="18">
        <v>39624.112889999997</v>
      </c>
      <c r="Q33" s="10">
        <v>65.59</v>
      </c>
    </row>
    <row r="34" spans="1:17" ht="23.1" customHeight="1" x14ac:dyDescent="0.25">
      <c r="A34" s="51" t="s">
        <v>29</v>
      </c>
      <c r="B34" s="57">
        <v>680</v>
      </c>
      <c r="C34" s="58">
        <v>3189.85</v>
      </c>
      <c r="D34" s="59">
        <v>2038.6369999999999</v>
      </c>
      <c r="E34" s="57">
        <v>109638</v>
      </c>
      <c r="F34" s="58">
        <v>329396.01</v>
      </c>
      <c r="G34" s="58">
        <v>385475.25199999998</v>
      </c>
      <c r="H34" s="54">
        <v>85.45</v>
      </c>
      <c r="I34" s="60">
        <v>223.31399999999999</v>
      </c>
      <c r="J34" s="60">
        <v>0</v>
      </c>
      <c r="K34" s="60">
        <v>223.31399999999999</v>
      </c>
      <c r="L34" s="61">
        <v>30661.631079999999</v>
      </c>
      <c r="M34" s="60">
        <v>641.30961000000002</v>
      </c>
      <c r="N34" s="60">
        <v>0</v>
      </c>
      <c r="O34" s="62">
        <v>31302.940689999999</v>
      </c>
      <c r="P34" s="61">
        <v>41804.290309999997</v>
      </c>
      <c r="Q34" s="62">
        <v>74.88</v>
      </c>
    </row>
    <row r="35" spans="1:17" ht="23.1" customHeight="1" x14ac:dyDescent="0.25">
      <c r="A35" s="126" t="s">
        <v>30</v>
      </c>
      <c r="B35" s="3">
        <f t="shared" ref="B35:G35" si="2">IFERROR(SUM(B23:B34),"")</f>
        <v>5413</v>
      </c>
      <c r="C35" s="3">
        <f t="shared" si="2"/>
        <v>23808.833299999995</v>
      </c>
      <c r="D35" s="3">
        <f t="shared" si="2"/>
        <v>15346.067000000001</v>
      </c>
      <c r="E35" s="3">
        <f t="shared" si="2"/>
        <v>762150</v>
      </c>
      <c r="F35" s="3">
        <f t="shared" si="2"/>
        <v>2172753.6780000003</v>
      </c>
      <c r="G35" s="3">
        <f t="shared" si="2"/>
        <v>2908899.6529999999</v>
      </c>
      <c r="H35" s="4">
        <f>IFERROR(F35/G35*100,"")</f>
        <v>74.693318339778443</v>
      </c>
      <c r="I35" s="5">
        <f t="shared" ref="I35:P35" si="3">IFERROR(SUM(I23:I34),"")</f>
        <v>1999.1986600000002</v>
      </c>
      <c r="J35" s="5">
        <f t="shared" si="3"/>
        <v>0</v>
      </c>
      <c r="K35" s="5">
        <f t="shared" si="3"/>
        <v>1999.1986600000002</v>
      </c>
      <c r="L35" s="5">
        <f t="shared" si="3"/>
        <v>202816.39877999996</v>
      </c>
      <c r="M35" s="5">
        <f t="shared" si="3"/>
        <v>5371.5280300000004</v>
      </c>
      <c r="N35" s="5">
        <f t="shared" si="3"/>
        <v>0</v>
      </c>
      <c r="O35" s="5">
        <f t="shared" si="3"/>
        <v>208187.92681</v>
      </c>
      <c r="P35" s="5">
        <f t="shared" si="3"/>
        <v>314686.44991000002</v>
      </c>
      <c r="Q35" s="5">
        <f>IFERROR(O35/P35*100,"")</f>
        <v>66.15725808007987</v>
      </c>
    </row>
    <row r="36" spans="1:17" ht="15.75" x14ac:dyDescent="0.25">
      <c r="A36" s="136" t="s">
        <v>43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38" t="s">
        <v>42</v>
      </c>
      <c r="B39" s="139"/>
      <c r="C39" s="140" t="s">
        <v>34</v>
      </c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 t="s">
        <v>41</v>
      </c>
      <c r="P39" s="141"/>
      <c r="Q39" s="142"/>
    </row>
    <row r="40" spans="1:17" ht="39.75" customHeight="1" x14ac:dyDescent="0.25">
      <c r="A40" s="143" t="s">
        <v>1</v>
      </c>
      <c r="B40" s="143" t="s">
        <v>2</v>
      </c>
      <c r="C40" s="143"/>
      <c r="D40" s="143"/>
      <c r="E40" s="144" t="s">
        <v>3</v>
      </c>
      <c r="F40" s="144" t="s">
        <v>4</v>
      </c>
      <c r="G40" s="144" t="s">
        <v>5</v>
      </c>
      <c r="H40" s="144" t="s">
        <v>37</v>
      </c>
      <c r="I40" s="143" t="s">
        <v>6</v>
      </c>
      <c r="J40" s="143"/>
      <c r="K40" s="143"/>
      <c r="L40" s="143" t="s">
        <v>7</v>
      </c>
      <c r="M40" s="143"/>
      <c r="N40" s="143"/>
      <c r="O40" s="143"/>
      <c r="P40" s="144" t="s">
        <v>8</v>
      </c>
      <c r="Q40" s="144" t="s">
        <v>38</v>
      </c>
    </row>
    <row r="41" spans="1:17" ht="178.5" customHeight="1" x14ac:dyDescent="0.25">
      <c r="A41" s="143"/>
      <c r="B41" s="40" t="s">
        <v>9</v>
      </c>
      <c r="C41" s="40" t="s">
        <v>10</v>
      </c>
      <c r="D41" s="40" t="s">
        <v>11</v>
      </c>
      <c r="E41" s="145"/>
      <c r="F41" s="145"/>
      <c r="G41" s="145"/>
      <c r="H41" s="145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45"/>
      <c r="Q41" s="145"/>
    </row>
    <row r="42" spans="1:17" ht="25.5" customHeight="1" x14ac:dyDescent="0.25">
      <c r="A42" s="46" t="s">
        <v>19</v>
      </c>
      <c r="B42" s="103">
        <v>12</v>
      </c>
      <c r="C42" s="104">
        <v>18.883333333333301</v>
      </c>
      <c r="D42" s="105">
        <v>7.6559999999999997</v>
      </c>
      <c r="E42" s="103">
        <v>1519</v>
      </c>
      <c r="F42" s="104">
        <v>950.10199999999998</v>
      </c>
      <c r="G42" s="104">
        <v>1450.203</v>
      </c>
      <c r="H42" s="106">
        <v>65.52</v>
      </c>
      <c r="I42" s="107">
        <v>3.7450000000000001</v>
      </c>
      <c r="J42" s="108">
        <v>0</v>
      </c>
      <c r="K42" s="106">
        <v>3.7450000000000001</v>
      </c>
      <c r="L42" s="107">
        <v>88.746650000000002</v>
      </c>
      <c r="M42" s="108">
        <v>1.95509</v>
      </c>
      <c r="N42" s="108">
        <v>0</v>
      </c>
      <c r="O42" s="106">
        <v>90.701740000000001</v>
      </c>
      <c r="P42" s="107">
        <v>156.99394000000001</v>
      </c>
      <c r="Q42" s="106">
        <v>57.77</v>
      </c>
    </row>
    <row r="43" spans="1:17" ht="25.5" customHeight="1" x14ac:dyDescent="0.25">
      <c r="A43" s="47" t="s">
        <v>20</v>
      </c>
      <c r="B43" s="63">
        <v>10</v>
      </c>
      <c r="C43" s="65">
        <v>19.683333333333302</v>
      </c>
      <c r="D43" s="66">
        <v>9.7759999999999998</v>
      </c>
      <c r="E43" s="63">
        <v>1305</v>
      </c>
      <c r="F43" s="65">
        <v>1245.0409999999999</v>
      </c>
      <c r="G43" s="65">
        <v>1822.8630000000001</v>
      </c>
      <c r="H43" s="67">
        <v>68.3</v>
      </c>
      <c r="I43" s="68">
        <v>0.40200000000000002</v>
      </c>
      <c r="J43" s="69">
        <v>0</v>
      </c>
      <c r="K43" s="67">
        <v>0.40200000000000002</v>
      </c>
      <c r="L43" s="68">
        <v>119.66289</v>
      </c>
      <c r="M43" s="69">
        <v>0.46118999999999999</v>
      </c>
      <c r="N43" s="69">
        <v>0</v>
      </c>
      <c r="O43" s="67">
        <v>120.12408000000001</v>
      </c>
      <c r="P43" s="68">
        <v>200.46664999999999</v>
      </c>
      <c r="Q43" s="67">
        <v>59.92</v>
      </c>
    </row>
    <row r="44" spans="1:17" ht="25.5" customHeight="1" x14ac:dyDescent="0.25">
      <c r="A44" s="46" t="s">
        <v>21</v>
      </c>
      <c r="B44" s="109">
        <v>5</v>
      </c>
      <c r="C44" s="110">
        <v>12.95</v>
      </c>
      <c r="D44" s="111">
        <v>7.327</v>
      </c>
      <c r="E44" s="109">
        <v>764</v>
      </c>
      <c r="F44" s="110">
        <v>1025.684</v>
      </c>
      <c r="G44" s="110">
        <v>1375.1790000000001</v>
      </c>
      <c r="H44" s="112">
        <v>74.59</v>
      </c>
      <c r="I44" s="113">
        <v>0.85</v>
      </c>
      <c r="J44" s="114">
        <v>0</v>
      </c>
      <c r="K44" s="112">
        <v>0.85</v>
      </c>
      <c r="L44" s="113">
        <v>84.001189999999994</v>
      </c>
      <c r="M44" s="114">
        <v>1.3948499999999999</v>
      </c>
      <c r="N44" s="114">
        <v>0</v>
      </c>
      <c r="O44" s="112">
        <v>85.396039999999999</v>
      </c>
      <c r="P44" s="113">
        <v>150.24746999999999</v>
      </c>
      <c r="Q44" s="112">
        <v>56.84</v>
      </c>
    </row>
    <row r="45" spans="1:17" ht="25.5" customHeight="1" x14ac:dyDescent="0.25">
      <c r="A45" s="47" t="s">
        <v>22</v>
      </c>
      <c r="B45" s="63">
        <v>7</v>
      </c>
      <c r="C45" s="70">
        <v>14.9</v>
      </c>
      <c r="D45" s="66">
        <v>8.9570000000000007</v>
      </c>
      <c r="E45" s="63">
        <v>843</v>
      </c>
      <c r="F45" s="65">
        <v>1086.329</v>
      </c>
      <c r="G45" s="65">
        <v>1672.5119999999999</v>
      </c>
      <c r="H45" s="67">
        <v>64.95</v>
      </c>
      <c r="I45" s="68">
        <v>0</v>
      </c>
      <c r="J45" s="69">
        <v>1.2840000000000001E-2</v>
      </c>
      <c r="K45" s="67">
        <v>1.2840000000000001E-2</v>
      </c>
      <c r="L45" s="68">
        <v>102.15143999999999</v>
      </c>
      <c r="M45" s="69">
        <v>0</v>
      </c>
      <c r="N45" s="69">
        <v>2.0789999999999999E-2</v>
      </c>
      <c r="O45" s="67">
        <v>102.17223</v>
      </c>
      <c r="P45" s="68">
        <v>183.67222000000001</v>
      </c>
      <c r="Q45" s="67">
        <v>55.63</v>
      </c>
    </row>
    <row r="46" spans="1:17" ht="25.5" customHeight="1" x14ac:dyDescent="0.25">
      <c r="A46" s="46" t="s">
        <v>23</v>
      </c>
      <c r="B46" s="109">
        <v>12</v>
      </c>
      <c r="C46" s="115">
        <v>26.616666666666699</v>
      </c>
      <c r="D46" s="111">
        <v>14.680999999999999</v>
      </c>
      <c r="E46" s="109">
        <v>1617</v>
      </c>
      <c r="F46" s="110">
        <v>2031.6389999999999</v>
      </c>
      <c r="G46" s="110">
        <v>2746.5810000000001</v>
      </c>
      <c r="H46" s="112">
        <v>73.97</v>
      </c>
      <c r="I46" s="113">
        <v>5.0140399999999996</v>
      </c>
      <c r="J46" s="114">
        <v>0.1052</v>
      </c>
      <c r="K46" s="112">
        <v>5.1192399999999996</v>
      </c>
      <c r="L46" s="113">
        <v>193.37967</v>
      </c>
      <c r="M46" s="114">
        <v>6.0478800000000001</v>
      </c>
      <c r="N46" s="114">
        <v>0.11971999999999999</v>
      </c>
      <c r="O46" s="112">
        <v>199.54727</v>
      </c>
      <c r="P46" s="113">
        <v>301.04858000000002</v>
      </c>
      <c r="Q46" s="112">
        <v>66.28</v>
      </c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>
        <v>2</v>
      </c>
      <c r="C49" s="72">
        <v>3.3833333333333302</v>
      </c>
      <c r="D49" s="76">
        <v>1.8879999999999999</v>
      </c>
      <c r="E49" s="71">
        <v>316</v>
      </c>
      <c r="F49" s="72">
        <v>298.30399999999997</v>
      </c>
      <c r="G49" s="72">
        <v>354</v>
      </c>
      <c r="H49" s="67">
        <v>84.27</v>
      </c>
      <c r="I49" s="73">
        <v>0.45</v>
      </c>
      <c r="J49" s="74">
        <v>0</v>
      </c>
      <c r="K49" s="67">
        <v>0.45</v>
      </c>
      <c r="L49" s="73">
        <v>25.697569999999999</v>
      </c>
      <c r="M49" s="74">
        <v>0.42480000000000001</v>
      </c>
      <c r="N49" s="74">
        <v>0</v>
      </c>
      <c r="O49" s="67">
        <v>26.12237</v>
      </c>
      <c r="P49" s="73">
        <v>38.715319999999998</v>
      </c>
      <c r="Q49" s="67">
        <v>67.47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>
        <v>10</v>
      </c>
      <c r="C52" s="117">
        <v>20.116666666666699</v>
      </c>
      <c r="D52" s="118">
        <v>9.9809999999999999</v>
      </c>
      <c r="E52" s="116">
        <v>1165</v>
      </c>
      <c r="F52" s="117">
        <v>1310.5550000000001</v>
      </c>
      <c r="G52" s="117">
        <v>1877.8520000000001</v>
      </c>
      <c r="H52" s="112">
        <v>69.790000000000006</v>
      </c>
      <c r="I52" s="119">
        <v>1.9868600000000001</v>
      </c>
      <c r="J52" s="120">
        <v>0.1123</v>
      </c>
      <c r="K52" s="112">
        <v>2.0991599999999999</v>
      </c>
      <c r="L52" s="119">
        <v>126.06408</v>
      </c>
      <c r="M52" s="120">
        <v>2.7364899999999999</v>
      </c>
      <c r="N52" s="120">
        <v>0.20124</v>
      </c>
      <c r="O52" s="112">
        <v>129.00181000000001</v>
      </c>
      <c r="P52" s="119">
        <v>204.67039</v>
      </c>
      <c r="Q52" s="112">
        <v>63.03</v>
      </c>
    </row>
    <row r="53" spans="1:17" ht="25.5" customHeight="1" x14ac:dyDescent="0.25">
      <c r="A53" s="47" t="s">
        <v>29</v>
      </c>
      <c r="B53" s="77">
        <v>25</v>
      </c>
      <c r="C53" s="78">
        <v>44.1666666666667</v>
      </c>
      <c r="D53" s="79">
        <v>20.148</v>
      </c>
      <c r="E53" s="77">
        <v>3765</v>
      </c>
      <c r="F53" s="78">
        <v>3067.2860000000001</v>
      </c>
      <c r="G53" s="78">
        <v>3822.5929999999998</v>
      </c>
      <c r="H53" s="80">
        <v>80.239999999999995</v>
      </c>
      <c r="I53" s="81">
        <v>5.3550000000000004</v>
      </c>
      <c r="J53" s="82">
        <v>0</v>
      </c>
      <c r="K53" s="80">
        <v>5.3550000000000004</v>
      </c>
      <c r="L53" s="81">
        <v>276.33042999999998</v>
      </c>
      <c r="M53" s="82">
        <v>5.2188800000000004</v>
      </c>
      <c r="N53" s="82">
        <v>0</v>
      </c>
      <c r="O53" s="80">
        <v>281.54930999999999</v>
      </c>
      <c r="P53" s="81">
        <v>413.1549</v>
      </c>
      <c r="Q53" s="80">
        <v>68.150000000000006</v>
      </c>
    </row>
    <row r="54" spans="1:17" ht="25.5" customHeight="1" x14ac:dyDescent="0.25">
      <c r="A54" s="122" t="s">
        <v>30</v>
      </c>
      <c r="B54" s="123">
        <f t="shared" ref="B54:G54" si="4">IFERROR(SUM(B42:B53),"")</f>
        <v>83</v>
      </c>
      <c r="C54" s="123">
        <f t="shared" si="4"/>
        <v>160.70000000000005</v>
      </c>
      <c r="D54" s="123">
        <f t="shared" si="4"/>
        <v>80.414000000000001</v>
      </c>
      <c r="E54" s="123">
        <f t="shared" si="4"/>
        <v>11294</v>
      </c>
      <c r="F54" s="123">
        <f t="shared" si="4"/>
        <v>11014.94</v>
      </c>
      <c r="G54" s="123">
        <f t="shared" si="4"/>
        <v>15121.782999999999</v>
      </c>
      <c r="H54" s="124">
        <f>IFERROR(F54/G54*100,"")</f>
        <v>72.841542561482342</v>
      </c>
      <c r="I54" s="124">
        <f t="shared" ref="I54:P54" si="5">IFERROR(SUM(I42:I53),"")</f>
        <v>17.802900000000001</v>
      </c>
      <c r="J54" s="124">
        <f t="shared" si="5"/>
        <v>0.23033999999999999</v>
      </c>
      <c r="K54" s="124">
        <f t="shared" si="5"/>
        <v>18.033239999999999</v>
      </c>
      <c r="L54" s="124">
        <f t="shared" si="5"/>
        <v>1016.03392</v>
      </c>
      <c r="M54" s="124">
        <f t="shared" si="5"/>
        <v>18.239179999999998</v>
      </c>
      <c r="N54" s="124">
        <f t="shared" si="5"/>
        <v>0.34175</v>
      </c>
      <c r="O54" s="124">
        <f t="shared" si="5"/>
        <v>1034.6148499999999</v>
      </c>
      <c r="P54" s="125">
        <f t="shared" si="5"/>
        <v>1648.96947</v>
      </c>
      <c r="Q54" s="124">
        <f>IFERROR(O54/P54*100,"")</f>
        <v>62.743117372573295</v>
      </c>
    </row>
    <row r="55" spans="1:17" ht="22.5" customHeight="1" x14ac:dyDescent="0.25">
      <c r="A55" s="136" t="s">
        <v>43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28" t="s">
        <v>42</v>
      </c>
      <c r="B58" s="129"/>
      <c r="C58" s="130" t="s">
        <v>35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1" t="s">
        <v>41</v>
      </c>
      <c r="P58" s="131"/>
      <c r="Q58" s="132"/>
    </row>
    <row r="59" spans="1:17" ht="33.75" customHeight="1" x14ac:dyDescent="0.25">
      <c r="A59" s="133" t="s">
        <v>1</v>
      </c>
      <c r="B59" s="133" t="s">
        <v>2</v>
      </c>
      <c r="C59" s="133"/>
      <c r="D59" s="133"/>
      <c r="E59" s="134" t="s">
        <v>3</v>
      </c>
      <c r="F59" s="134" t="s">
        <v>4</v>
      </c>
      <c r="G59" s="134" t="s">
        <v>5</v>
      </c>
      <c r="H59" s="134" t="s">
        <v>37</v>
      </c>
      <c r="I59" s="133" t="s">
        <v>6</v>
      </c>
      <c r="J59" s="133"/>
      <c r="K59" s="133"/>
      <c r="L59" s="133" t="s">
        <v>7</v>
      </c>
      <c r="M59" s="133"/>
      <c r="N59" s="133"/>
      <c r="O59" s="133"/>
      <c r="P59" s="134" t="s">
        <v>8</v>
      </c>
      <c r="Q59" s="134" t="s">
        <v>38</v>
      </c>
    </row>
    <row r="60" spans="1:17" ht="164.25" customHeight="1" x14ac:dyDescent="0.25">
      <c r="A60" s="133"/>
      <c r="B60" s="39" t="s">
        <v>9</v>
      </c>
      <c r="C60" s="39" t="s">
        <v>10</v>
      </c>
      <c r="D60" s="39" t="s">
        <v>11</v>
      </c>
      <c r="E60" s="135"/>
      <c r="F60" s="135"/>
      <c r="G60" s="135"/>
      <c r="H60" s="135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35"/>
      <c r="Q60" s="135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6" t="s">
        <v>43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2026-01-28T10:16:57Z</dcterms:modified>
</cp:coreProperties>
</file>