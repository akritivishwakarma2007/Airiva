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<sst xmlns="http://schemas.openxmlformats.org/spreadsheetml/2006/main" count="157" uniqueCount="44">
  <si>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</si>
  <si>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</si>
  <si>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</si>
  <si>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</si>
  <si>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</si>
  <si>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</si>
  <si>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</si>
  <si>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</si>
  <si>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</si>
  <si>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</si>
  <si>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</si>
  <si>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</si>
  <si>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</si>
  <si>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</si>
  <si>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</si>
  <si>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</si>
  <si>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</si>
  <si>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</si>
  <si>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</si>
  <si>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</si>
  <si>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</si>
  <si>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</si>
  <si>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</si>
  <si>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</si>
  <si>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</si>
  <si>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</si>
  <si>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</si>
  <si>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</si>
  <si>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</si>
  <si>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</si>
  <si>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</si>
  <si>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</si>
  <si>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</si>
  <si>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</si>
  <si>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</si>
  <si>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</si>
  <si>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</si>
  <si>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</si>
  <si>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</si>
  <si>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</si>
  <si>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</si>
  <si>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INDIA ONE AIR</t>
  </si>
  <si>
    <t>2025</t>
  </si>
  <si>
    <t>SOURCE:-ICAO ATR FORM A FURNISHED BY INDIA ONE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</si>
</sst>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0" transitionEvaluation="1" transitionEntry="1"/>
  <dimension ref="A1:Q494"/>
  <sheetViews>
    <sheetView showGridLines="0" tabSelected="1" view="pageBreakPreview" topLeftCell="A40" zoomScale="55" zoomScaleNormal="85" zoomScaleSheetLayoutView="55" workbookViewId="0">
      <selection activeCell="T74" sqref="T7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416</v>
      </c>
      <c r="C4" s="21">
        <v>562.08333333333303</v>
      </c>
      <c r="D4" s="22">
        <v>126.121</v>
      </c>
      <c r="E4" s="23">
        <v>2860</v>
      </c>
      <c r="F4" s="21">
        <v>920.63</v>
      </c>
      <c r="G4" s="21">
        <v>1135.0889999999999</v>
      </c>
      <c r="H4" s="25">
        <v>81.11</v>
      </c>
      <c r="I4" s="26">
        <v>0</v>
      </c>
      <c r="J4" s="27">
        <v>0</v>
      </c>
      <c r="K4" s="25">
        <v>0</v>
      </c>
      <c r="L4" s="26">
        <v>82.856700000000004</v>
      </c>
      <c r="M4" s="27">
        <v>0</v>
      </c>
      <c r="N4" s="27">
        <v>0</v>
      </c>
      <c r="O4" s="25">
        <v>82.856700000000004</v>
      </c>
      <c r="P4" s="27">
        <v>102.15801</v>
      </c>
      <c r="Q4" s="25">
        <v>81.11</v>
      </c>
    </row>
    <row r="5" spans="1:17" ht="23.1" customHeight="1" x14ac:dyDescent="0.25">
      <c r="A5" s="43" t="s">
        <v>20</v>
      </c>
      <c r="B5" s="64">
        <v>382</v>
      </c>
      <c r="C5" s="64">
        <v>515.58333333333303</v>
      </c>
      <c r="D5" s="53">
        <v>115.735</v>
      </c>
      <c r="E5" s="75">
        <v>2721</v>
      </c>
      <c r="F5" s="64">
        <v>863.06100000000004</v>
      </c>
      <c r="G5" s="64">
        <v>1041.615</v>
      </c>
      <c r="H5" s="84">
        <v>82.86</v>
      </c>
      <c r="I5" s="93">
        <v>0</v>
      </c>
      <c r="J5" s="102">
        <v>0</v>
      </c>
      <c r="K5" s="84">
        <v>0</v>
      </c>
      <c r="L5" s="93">
        <v>77.675489999999996</v>
      </c>
      <c r="M5" s="102">
        <v>0</v>
      </c>
      <c r="N5" s="102">
        <v>0</v>
      </c>
      <c r="O5" s="84">
        <v>77.675489999999996</v>
      </c>
      <c r="P5" s="102">
        <v>93.745350000000002</v>
      </c>
      <c r="Q5" s="84">
        <v>82.86</v>
      </c>
    </row>
    <row r="6" spans="1:17" ht="23.1" customHeight="1" x14ac:dyDescent="0.25">
      <c r="A6" s="45" t="s">
        <v>21</v>
      </c>
      <c r="B6" s="29">
        <v>428</v>
      </c>
      <c r="C6" s="29">
        <v>585.1</v>
      </c>
      <c r="D6" s="28">
        <v>129.625</v>
      </c>
      <c r="E6" s="30">
        <v>2992</v>
      </c>
      <c r="F6" s="29">
        <v>956.66899999999998</v>
      </c>
      <c r="G6" s="29">
        <v>1166.625</v>
      </c>
      <c r="H6" s="31">
        <v>82</v>
      </c>
      <c r="I6" s="32">
        <v>0</v>
      </c>
      <c r="J6" s="33">
        <v>0</v>
      </c>
      <c r="K6" s="31">
        <v>0</v>
      </c>
      <c r="L6" s="32">
        <v>86.100210000000004</v>
      </c>
      <c r="M6" s="33">
        <v>0</v>
      </c>
      <c r="N6" s="33">
        <v>0</v>
      </c>
      <c r="O6" s="31">
        <v>86.100210000000004</v>
      </c>
      <c r="P6" s="33">
        <v>104.99625</v>
      </c>
      <c r="Q6" s="31">
        <v>82</v>
      </c>
    </row>
    <row r="7" spans="1:17" ht="23.1" customHeight="1" x14ac:dyDescent="0.25">
      <c r="A7" s="43" t="s">
        <v>22</v>
      </c>
      <c r="B7" s="64">
        <v>414</v>
      </c>
      <c r="C7" s="64">
        <v>561.66666666666697</v>
      </c>
      <c r="D7" s="53">
        <v>124.49</v>
      </c>
      <c r="E7" s="75">
        <v>2886</v>
      </c>
      <c r="F7" s="64">
        <v>909.44799999999998</v>
      </c>
      <c r="G7" s="64">
        <v>1120.4100000000001</v>
      </c>
      <c r="H7" s="84">
        <v>81.17</v>
      </c>
      <c r="I7" s="93">
        <v>0</v>
      </c>
      <c r="J7" s="102">
        <v>0</v>
      </c>
      <c r="K7" s="84">
        <v>0</v>
      </c>
      <c r="L7" s="93">
        <v>81.850319999999996</v>
      </c>
      <c r="M7" s="102">
        <v>0</v>
      </c>
      <c r="N7" s="102">
        <v>0</v>
      </c>
      <c r="O7" s="84">
        <v>81.850319999999996</v>
      </c>
      <c r="P7" s="102">
        <v>100.8369</v>
      </c>
      <c r="Q7" s="84">
        <v>81.17</v>
      </c>
    </row>
    <row r="8" spans="1:17" ht="30" customHeight="1" x14ac:dyDescent="0.25">
      <c r="A8" s="45" t="s">
        <v>23</v>
      </c>
      <c r="B8" s="29">
        <v>423</v>
      </c>
      <c r="C8" s="29">
        <v>581.91666666666697</v>
      </c>
      <c r="D8" s="28">
        <v>131.01400000000001</v>
      </c>
      <c r="E8" s="30">
        <v>2947</v>
      </c>
      <c r="F8" s="29">
        <v>955.72299999999996</v>
      </c>
      <c r="G8" s="29">
        <v>1179.126</v>
      </c>
      <c r="H8" s="31">
        <v>81.05</v>
      </c>
      <c r="I8" s="32">
        <v>0</v>
      </c>
      <c r="J8" s="33">
        <v>0</v>
      </c>
      <c r="K8" s="31">
        <v>0</v>
      </c>
      <c r="L8" s="32">
        <v>86.015069999999994</v>
      </c>
      <c r="M8" s="33">
        <v>0</v>
      </c>
      <c r="N8" s="33">
        <v>0</v>
      </c>
      <c r="O8" s="31">
        <v>86.015069999999994</v>
      </c>
      <c r="P8" s="33">
        <v>106.12134</v>
      </c>
      <c r="Q8" s="31">
        <v>81.05</v>
      </c>
    </row>
    <row r="9" spans="1:17" ht="23.1" customHeight="1" x14ac:dyDescent="0.25">
      <c r="A9" s="43" t="s">
        <v>39</v>
      </c>
      <c r="B9" s="64">
        <v>446</v>
      </c>
      <c r="C9" s="64">
        <v>604.25</v>
      </c>
      <c r="D9" s="53">
        <v>135.066</v>
      </c>
      <c r="E9" s="75">
        <v>2819</v>
      </c>
      <c r="F9" s="64">
        <v>907.66499999999996</v>
      </c>
      <c r="G9" s="64">
        <v>1215.5940000000001</v>
      </c>
      <c r="H9" s="84">
        <v>74.67</v>
      </c>
      <c r="I9" s="93">
        <v>0</v>
      </c>
      <c r="J9" s="102">
        <v>0</v>
      </c>
      <c r="K9" s="84">
        <v>0</v>
      </c>
      <c r="L9" s="93">
        <v>81.689850000000007</v>
      </c>
      <c r="M9" s="102">
        <v>0</v>
      </c>
      <c r="N9" s="102">
        <v>0</v>
      </c>
      <c r="O9" s="84">
        <v>81.689850000000007</v>
      </c>
      <c r="P9" s="102">
        <v>109.40346</v>
      </c>
      <c r="Q9" s="84">
        <v>74.67</v>
      </c>
    </row>
    <row r="10" spans="1:17" ht="23.1" customHeight="1" x14ac:dyDescent="0.25">
      <c r="A10" s="45" t="s">
        <v>24</v>
      </c>
      <c r="B10" s="29">
        <v>457</v>
      </c>
      <c r="C10" s="29">
        <v>618</v>
      </c>
      <c r="D10" s="28">
        <v>137.59</v>
      </c>
      <c r="E10" s="30">
        <v>2321</v>
      </c>
      <c r="F10" s="29">
        <v>749.58600000000001</v>
      </c>
      <c r="G10" s="29">
        <v>1240.7940000000001</v>
      </c>
      <c r="H10" s="31">
        <v>60.41</v>
      </c>
      <c r="I10" s="32">
        <v>0</v>
      </c>
      <c r="J10" s="33">
        <v>0</v>
      </c>
      <c r="K10" s="31">
        <v>0</v>
      </c>
      <c r="L10" s="32">
        <v>67.462739999999997</v>
      </c>
      <c r="M10" s="33">
        <v>0</v>
      </c>
      <c r="N10" s="33">
        <v>0</v>
      </c>
      <c r="O10" s="31">
        <v>67.462739999999997</v>
      </c>
      <c r="P10" s="33">
        <v>111.67146</v>
      </c>
      <c r="Q10" s="31">
        <v>60.41</v>
      </c>
    </row>
    <row r="11" spans="1:17" ht="23.1" customHeight="1" x14ac:dyDescent="0.25">
      <c r="A11" s="43" t="s">
        <v>25</v>
      </c>
      <c r="B11" s="64">
        <v>426</v>
      </c>
      <c r="C11" s="64">
        <v>584.66666699999996</v>
      </c>
      <c r="D11" s="53">
        <v>131.43100000000001</v>
      </c>
      <c r="E11" s="75">
        <v>2519</v>
      </c>
      <c r="F11" s="64">
        <v>822.74</v>
      </c>
      <c r="G11" s="64">
        <v>1182.8789999999999</v>
      </c>
      <c r="H11" s="84">
        <v>69.55</v>
      </c>
      <c r="I11" s="93">
        <v>0</v>
      </c>
      <c r="J11" s="102">
        <v>0</v>
      </c>
      <c r="K11" s="84">
        <v>0</v>
      </c>
      <c r="L11" s="93">
        <v>74.046689999999998</v>
      </c>
      <c r="M11" s="102">
        <v>0</v>
      </c>
      <c r="N11" s="102">
        <v>0</v>
      </c>
      <c r="O11" s="84">
        <v>74.046689999999998</v>
      </c>
      <c r="P11" s="102">
        <v>106.45911</v>
      </c>
      <c r="Q11" s="84">
        <v>69.55</v>
      </c>
    </row>
    <row r="12" spans="1:17" ht="23.1" customHeight="1" x14ac:dyDescent="0.25">
      <c r="A12" s="45" t="s">
        <v>26</v>
      </c>
      <c r="B12" s="29">
        <v>442</v>
      </c>
      <c r="C12" s="29">
        <v>600.33299999999997</v>
      </c>
      <c r="D12" s="28">
        <v>134.23599999999999</v>
      </c>
      <c r="E12" s="30">
        <v>2753</v>
      </c>
      <c r="F12" s="29">
        <v>879.71</v>
      </c>
      <c r="G12" s="29">
        <v>1208.124</v>
      </c>
      <c r="H12" s="31">
        <v>72.819999999999993</v>
      </c>
      <c r="I12" s="32">
        <v>0</v>
      </c>
      <c r="J12" s="33">
        <v>0</v>
      </c>
      <c r="K12" s="31">
        <v>0</v>
      </c>
      <c r="L12" s="32">
        <v>79.173900000000003</v>
      </c>
      <c r="M12" s="33">
        <v>0</v>
      </c>
      <c r="N12" s="33">
        <v>0</v>
      </c>
      <c r="O12" s="31">
        <v>79.173900000000003</v>
      </c>
      <c r="P12" s="33">
        <v>108.73116</v>
      </c>
      <c r="Q12" s="31">
        <v>72.819999999999993</v>
      </c>
    </row>
    <row r="13" spans="1:17" ht="23.1" customHeight="1" x14ac:dyDescent="0.25">
      <c r="A13" s="43" t="s">
        <v>27</v>
      </c>
      <c r="B13" s="64">
        <v>376</v>
      </c>
      <c r="C13" s="64">
        <v>530.09166666666601</v>
      </c>
      <c r="D13" s="53">
        <v>120.566</v>
      </c>
      <c r="E13" s="75">
        <v>2702</v>
      </c>
      <c r="F13" s="64">
        <v>893.29399999999998</v>
      </c>
      <c r="G13" s="64">
        <v>1085.0940000000001</v>
      </c>
      <c r="H13" s="84">
        <v>82.32</v>
      </c>
      <c r="I13" s="93">
        <v>0</v>
      </c>
      <c r="J13" s="102">
        <v>0</v>
      </c>
      <c r="K13" s="84">
        <v>0</v>
      </c>
      <c r="L13" s="93">
        <v>80.396460000000005</v>
      </c>
      <c r="M13" s="102">
        <v>0</v>
      </c>
      <c r="N13" s="102">
        <v>0</v>
      </c>
      <c r="O13" s="84">
        <v>80.396460000000005</v>
      </c>
      <c r="P13" s="102">
        <v>97.658460000000005</v>
      </c>
      <c r="Q13" s="84">
        <v>82.32</v>
      </c>
    </row>
    <row r="14" spans="1:17" ht="23.1" customHeight="1" x14ac:dyDescent="0.25">
      <c r="A14" s="45" t="s">
        <v>28</v>
      </c>
      <c r="B14" s="29">
        <v>424</v>
      </c>
      <c r="C14" s="29">
        <v>508.66666666666703</v>
      </c>
      <c r="D14" s="28">
        <v>129.69800000000001</v>
      </c>
      <c r="E14" s="30">
        <v>3070</v>
      </c>
      <c r="F14" s="29">
        <v>970.22199999999998</v>
      </c>
      <c r="G14" s="29">
        <v>1167.2819999999999</v>
      </c>
      <c r="H14" s="31">
        <v>83.12</v>
      </c>
      <c r="I14" s="32">
        <v>0</v>
      </c>
      <c r="J14" s="33">
        <v>0</v>
      </c>
      <c r="K14" s="31">
        <v>0</v>
      </c>
      <c r="L14" s="32">
        <v>87.319980000000001</v>
      </c>
      <c r="M14" s="33">
        <v>0</v>
      </c>
      <c r="N14" s="33">
        <v>0</v>
      </c>
      <c r="O14" s="31">
        <v>87.319980000000001</v>
      </c>
      <c r="P14" s="33">
        <v>105.05538</v>
      </c>
      <c r="Q14" s="31">
        <v>83.12</v>
      </c>
    </row>
    <row r="15" spans="1:17" ht="23.1" customHeight="1" x14ac:dyDescent="0.25">
      <c r="A15" s="121" t="s">
        <v>29</v>
      </c>
      <c r="B15" s="2">
        <v>457</v>
      </c>
      <c r="C15" s="2">
        <v>604.83330000000001</v>
      </c>
      <c r="D15" s="13">
        <v>133.875</v>
      </c>
      <c r="E15" s="24">
        <v>3308</v>
      </c>
      <c r="F15" s="2">
        <v>1012.272</v>
      </c>
      <c r="G15" s="2">
        <v>1204.875</v>
      </c>
      <c r="H15" s="35">
        <v>84.01</v>
      </c>
      <c r="I15" s="44">
        <v>0</v>
      </c>
      <c r="J15" s="49">
        <v>0</v>
      </c>
      <c r="K15" s="35">
        <v>0</v>
      </c>
      <c r="L15" s="44">
        <v>91.104479999999995</v>
      </c>
      <c r="M15" s="49">
        <v>0</v>
      </c>
      <c r="N15" s="49">
        <v>0</v>
      </c>
      <c r="O15" s="35">
        <v>91.104479999999995</v>
      </c>
      <c r="P15" s="102">
        <v>108.43875</v>
      </c>
      <c r="Q15" s="84">
        <v>84.01</v>
      </c>
    </row>
    <row r="16" spans="1:17" ht="23.1" customHeight="1" x14ac:dyDescent="0.25">
      <c r="A16" s="34" t="s">
        <v>30</v>
      </c>
      <c r="B16" s="36">
        <f t="shared" ref="B16:G16" si="0">IFERROR(SUM(B4:B15),"")</f>
        <v>5091</v>
      </c>
      <c r="C16" s="36">
        <f t="shared" si="0"/>
        <v>6857.1913003333329</v>
      </c>
      <c r="D16" s="36">
        <f t="shared" si="0"/>
        <v>1549.4470000000001</v>
      </c>
      <c r="E16" s="36">
        <f t="shared" si="0"/>
        <v>33898</v>
      </c>
      <c r="F16" s="36">
        <f t="shared" si="0"/>
        <v>10841.02</v>
      </c>
      <c r="G16" s="36">
        <f t="shared" si="0"/>
        <v>13947.506999999998</v>
      </c>
      <c r="H16" s="37">
        <f>IFERROR(F16/G16*100,"")</f>
        <v>77.727295637851284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975.69189000000006</v>
      </c>
      <c r="M16" s="37">
        <f t="shared" si="1"/>
        <v>0</v>
      </c>
      <c r="N16" s="37">
        <f t="shared" si="1"/>
        <v>0</v>
      </c>
      <c r="O16" s="37">
        <f t="shared" si="1"/>
        <v>975.69189000000006</v>
      </c>
      <c r="P16" s="38">
        <f t="shared" si="1"/>
        <v>1255.2756300000003</v>
      </c>
      <c r="Q16" s="38">
        <f>IFERROR(O16/P16*100,"")</f>
        <v>77.727302807591343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2026-01-28T10:19:16Z</dcterms:modified>
</cp:coreProperties>
</file>