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<sst xmlns="http://schemas.openxmlformats.org/spreadsheetml/2006/main" count="157" uniqueCount="44">
  <si>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</si>
  <si>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</si>
  <si>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</si>
  <si>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</si>
  <si>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</si>
  <si>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</si>
  <si>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</si>
  <si>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</si>
  <si>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</si>
  <si>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</si>
  <si>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</si>
  <si>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</si>
  <si>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</si>
  <si>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</si>
  <si>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</si>
  <si>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</si>
  <si>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</si>
  <si>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</si>
  <si>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</si>
  <si>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</si>
  <si>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</si>
  <si>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</si>
  <si>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</si>
  <si>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</si>
  <si>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</si>
  <si>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</si>
  <si>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</si>
  <si>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</si>
  <si>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</si>
  <si>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</si>
  <si>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</si>
  <si>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</si>
  <si>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</si>
  <si>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</si>
  <si>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</si>
  <si>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</si>
  <si>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</si>
  <si>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</si>
  <si>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</si>
  <si>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</si>
  <si>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</si>
  <si>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BLUEDART</t>
  </si>
  <si>
    <t>2025</t>
  </si>
  <si>
    <t>SOURCE:-ICAO ATR FORM A FURNISHED BY BLUEDART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</si>
</sst>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Normal="85" zoomScaleSheetLayoutView="100" workbookViewId="0">
      <selection activeCell="J3" sqref="J3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54" t="s">
        <v>42</v>
      </c>
      <c r="B1" s="155"/>
      <c r="C1" s="156" t="s">
        <v>0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 t="s">
        <v>41</v>
      </c>
      <c r="P1" s="157"/>
      <c r="Q1" s="158"/>
    </row>
    <row r="2" spans="1:17" ht="49.5" customHeight="1" x14ac:dyDescent="0.25">
      <c r="A2" s="159" t="s">
        <v>1</v>
      </c>
      <c r="B2" s="161" t="s">
        <v>2</v>
      </c>
      <c r="C2" s="161"/>
      <c r="D2" s="161"/>
      <c r="E2" s="162" t="s">
        <v>3</v>
      </c>
      <c r="F2" s="162" t="s">
        <v>4</v>
      </c>
      <c r="G2" s="162" t="s">
        <v>5</v>
      </c>
      <c r="H2" s="162" t="s">
        <v>37</v>
      </c>
      <c r="I2" s="161" t="s">
        <v>6</v>
      </c>
      <c r="J2" s="161"/>
      <c r="K2" s="161"/>
      <c r="L2" s="161" t="s">
        <v>7</v>
      </c>
      <c r="M2" s="161"/>
      <c r="N2" s="161"/>
      <c r="O2" s="161"/>
      <c r="P2" s="162" t="s">
        <v>8</v>
      </c>
      <c r="Q2" s="162" t="s">
        <v>38</v>
      </c>
    </row>
    <row r="3" spans="1:17" ht="155.25" customHeight="1" x14ac:dyDescent="0.25">
      <c r="A3" s="160"/>
      <c r="B3" s="42" t="s">
        <v>9</v>
      </c>
      <c r="C3" s="42" t="s">
        <v>10</v>
      </c>
      <c r="D3" s="42" t="s">
        <v>11</v>
      </c>
      <c r="E3" s="162"/>
      <c r="F3" s="162"/>
      <c r="G3" s="162"/>
      <c r="H3" s="162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62"/>
      <c r="Q3" s="162"/>
    </row>
    <row r="4" spans="1:17" ht="23.1" customHeight="1" x14ac:dyDescent="0.25">
      <c r="A4" s="20" t="s">
        <v>19</v>
      </c>
      <c r="B4" s="21">
        <v>647</v>
      </c>
      <c r="C4" s="21">
        <v>920.41666666666697</v>
      </c>
      <c r="D4" s="22">
        <v>640</v>
      </c>
      <c r="E4" s="23">
        <v>0</v>
      </c>
      <c r="F4" s="21">
        <v>0</v>
      </c>
      <c r="G4" s="21">
        <v>0</v>
      </c>
      <c r="H4" s="22">
        <v>0</v>
      </c>
      <c r="I4" s="26">
        <v>11566.215</v>
      </c>
      <c r="J4" s="27">
        <v>0</v>
      </c>
      <c r="K4" s="25">
        <v>11566.215</v>
      </c>
      <c r="L4" s="26">
        <v>0</v>
      </c>
      <c r="M4" s="27">
        <v>11684</v>
      </c>
      <c r="N4" s="27">
        <v>0</v>
      </c>
      <c r="O4" s="25">
        <v>11684</v>
      </c>
      <c r="P4" s="27">
        <v>18437</v>
      </c>
      <c r="Q4" s="25">
        <v>63.37</v>
      </c>
    </row>
    <row r="5" spans="1:17" ht="23.1" customHeight="1" x14ac:dyDescent="0.25">
      <c r="A5" s="43" t="s">
        <v>20</v>
      </c>
      <c r="B5" s="64">
        <v>591</v>
      </c>
      <c r="C5" s="64">
        <v>854.41666666666697</v>
      </c>
      <c r="D5" s="53">
        <v>589</v>
      </c>
      <c r="E5" s="75">
        <v>0</v>
      </c>
      <c r="F5" s="64">
        <v>0</v>
      </c>
      <c r="G5" s="64">
        <v>0</v>
      </c>
      <c r="H5" s="53">
        <v>0</v>
      </c>
      <c r="I5" s="93">
        <v>10506.37</v>
      </c>
      <c r="J5" s="102">
        <v>0</v>
      </c>
      <c r="K5" s="84">
        <v>10506.37</v>
      </c>
      <c r="L5" s="93">
        <v>0</v>
      </c>
      <c r="M5" s="102">
        <v>10606</v>
      </c>
      <c r="N5" s="102">
        <v>0</v>
      </c>
      <c r="O5" s="84">
        <v>10606</v>
      </c>
      <c r="P5" s="102">
        <v>17013</v>
      </c>
      <c r="Q5" s="84">
        <v>62.34</v>
      </c>
    </row>
    <row r="6" spans="1:17" ht="23.1" customHeight="1" x14ac:dyDescent="0.25">
      <c r="A6" s="45" t="s">
        <v>21</v>
      </c>
      <c r="B6" s="29">
        <v>596</v>
      </c>
      <c r="C6" s="29">
        <v>842.16666666666697</v>
      </c>
      <c r="D6" s="28">
        <v>592</v>
      </c>
      <c r="E6" s="30">
        <v>0</v>
      </c>
      <c r="F6" s="29">
        <v>0</v>
      </c>
      <c r="G6" s="29">
        <v>0</v>
      </c>
      <c r="H6" s="28">
        <v>0</v>
      </c>
      <c r="I6" s="32">
        <v>11344.712</v>
      </c>
      <c r="J6" s="33">
        <v>0</v>
      </c>
      <c r="K6" s="31">
        <v>11344.712</v>
      </c>
      <c r="L6" s="32">
        <v>0</v>
      </c>
      <c r="M6" s="33">
        <v>11356</v>
      </c>
      <c r="N6" s="33">
        <v>0</v>
      </c>
      <c r="O6" s="31">
        <v>11356</v>
      </c>
      <c r="P6" s="33">
        <v>17464</v>
      </c>
      <c r="Q6" s="31">
        <v>65.03</v>
      </c>
    </row>
    <row r="7" spans="1:17" ht="23.1" customHeight="1" x14ac:dyDescent="0.25">
      <c r="A7" s="43" t="s">
        <v>22</v>
      </c>
      <c r="B7" s="64">
        <v>616</v>
      </c>
      <c r="C7" s="64">
        <v>884.75</v>
      </c>
      <c r="D7" s="53">
        <v>614</v>
      </c>
      <c r="E7" s="75">
        <v>0</v>
      </c>
      <c r="F7" s="64">
        <v>0</v>
      </c>
      <c r="G7" s="64">
        <v>0</v>
      </c>
      <c r="H7" s="53">
        <v>0</v>
      </c>
      <c r="I7" s="93">
        <v>11009.465</v>
      </c>
      <c r="J7" s="102">
        <v>0</v>
      </c>
      <c r="K7" s="84">
        <v>11009.465</v>
      </c>
      <c r="L7" s="93">
        <v>0</v>
      </c>
      <c r="M7" s="102">
        <v>11035</v>
      </c>
      <c r="N7" s="102">
        <v>0</v>
      </c>
      <c r="O7" s="84">
        <v>11035</v>
      </c>
      <c r="P7" s="102">
        <v>18114</v>
      </c>
      <c r="Q7" s="84">
        <v>60.92</v>
      </c>
    </row>
    <row r="8" spans="1:17" ht="30" customHeight="1" x14ac:dyDescent="0.25">
      <c r="A8" s="45" t="s">
        <v>23</v>
      </c>
      <c r="B8" s="29">
        <v>650</v>
      </c>
      <c r="C8" s="29">
        <v>933.33333333333303</v>
      </c>
      <c r="D8" s="28">
        <v>652</v>
      </c>
      <c r="E8" s="30">
        <v>0</v>
      </c>
      <c r="F8" s="29">
        <v>0</v>
      </c>
      <c r="G8" s="29">
        <v>0</v>
      </c>
      <c r="H8" s="28">
        <v>0</v>
      </c>
      <c r="I8" s="32">
        <v>11617.453</v>
      </c>
      <c r="J8" s="33">
        <v>0</v>
      </c>
      <c r="K8" s="31">
        <v>11617.453</v>
      </c>
      <c r="L8" s="32">
        <v>0</v>
      </c>
      <c r="M8" s="33">
        <v>11764</v>
      </c>
      <c r="N8" s="33">
        <v>0</v>
      </c>
      <c r="O8" s="31">
        <v>11764</v>
      </c>
      <c r="P8" s="33">
        <v>19170</v>
      </c>
      <c r="Q8" s="31">
        <v>61.37</v>
      </c>
    </row>
    <row r="9" spans="1:17" ht="23.1" customHeight="1" x14ac:dyDescent="0.25">
      <c r="A9" s="43" t="s">
        <v>39</v>
      </c>
      <c r="B9" s="64">
        <v>611</v>
      </c>
      <c r="C9" s="64">
        <v>879.16666666666697</v>
      </c>
      <c r="D9" s="53">
        <v>611</v>
      </c>
      <c r="E9" s="75">
        <v>0</v>
      </c>
      <c r="F9" s="64">
        <v>0</v>
      </c>
      <c r="G9" s="64">
        <v>0</v>
      </c>
      <c r="H9" s="53">
        <v>0</v>
      </c>
      <c r="I9" s="93">
        <v>11213.486999999999</v>
      </c>
      <c r="J9" s="102">
        <v>0</v>
      </c>
      <c r="K9" s="84">
        <v>11213.486999999999</v>
      </c>
      <c r="L9" s="93">
        <v>0</v>
      </c>
      <c r="M9" s="102">
        <v>11274</v>
      </c>
      <c r="N9" s="102">
        <v>0</v>
      </c>
      <c r="O9" s="84">
        <v>11274</v>
      </c>
      <c r="P9" s="102">
        <v>17958</v>
      </c>
      <c r="Q9" s="84">
        <v>62.78</v>
      </c>
    </row>
    <row r="10" spans="1:17" ht="23.1" customHeight="1" x14ac:dyDescent="0.25">
      <c r="A10" s="45" t="s">
        <v>24</v>
      </c>
      <c r="B10" s="29">
        <v>594</v>
      </c>
      <c r="C10" s="29">
        <v>829.33299999999997</v>
      </c>
      <c r="D10" s="28">
        <v>575</v>
      </c>
      <c r="E10" s="30">
        <v>0</v>
      </c>
      <c r="F10" s="29">
        <v>0</v>
      </c>
      <c r="G10" s="29">
        <v>0</v>
      </c>
      <c r="H10" s="28">
        <v>0</v>
      </c>
      <c r="I10" s="32">
        <v>11158.146000000001</v>
      </c>
      <c r="J10" s="33">
        <v>0</v>
      </c>
      <c r="K10" s="31">
        <v>11158.146000000001</v>
      </c>
      <c r="L10" s="32">
        <v>0</v>
      </c>
      <c r="M10" s="33">
        <v>10973</v>
      </c>
      <c r="N10" s="33">
        <v>0</v>
      </c>
      <c r="O10" s="31">
        <v>10973</v>
      </c>
      <c r="P10" s="33">
        <v>17119</v>
      </c>
      <c r="Q10" s="31">
        <v>64.099999999999994</v>
      </c>
    </row>
    <row r="11" spans="1:17" ht="23.1" customHeight="1" x14ac:dyDescent="0.25">
      <c r="A11" s="43" t="s">
        <v>25</v>
      </c>
      <c r="B11" s="64">
        <v>582</v>
      </c>
      <c r="C11" s="64">
        <v>805.08330000000001</v>
      </c>
      <c r="D11" s="53">
        <v>573</v>
      </c>
      <c r="E11" s="75">
        <v>0</v>
      </c>
      <c r="F11" s="64">
        <v>0</v>
      </c>
      <c r="G11" s="64">
        <v>0</v>
      </c>
      <c r="H11" s="53">
        <v>0</v>
      </c>
      <c r="I11" s="93">
        <v>11165.683999999999</v>
      </c>
      <c r="J11" s="102">
        <v>0</v>
      </c>
      <c r="K11" s="84">
        <v>11165.683999999999</v>
      </c>
      <c r="L11" s="93">
        <v>0</v>
      </c>
      <c r="M11" s="102">
        <v>11159</v>
      </c>
      <c r="N11" s="102">
        <v>0</v>
      </c>
      <c r="O11" s="84">
        <v>11159</v>
      </c>
      <c r="P11" s="102">
        <v>17094</v>
      </c>
      <c r="Q11" s="84">
        <v>65.28</v>
      </c>
    </row>
    <row r="12" spans="1:17" ht="23.1" customHeight="1" x14ac:dyDescent="0.25">
      <c r="A12" s="45" t="s">
        <v>26</v>
      </c>
      <c r="B12" s="29">
        <v>605</v>
      </c>
      <c r="C12" s="29">
        <v>877.91666666666697</v>
      </c>
      <c r="D12" s="28">
        <v>596</v>
      </c>
      <c r="E12" s="30">
        <v>0</v>
      </c>
      <c r="F12" s="29">
        <v>0</v>
      </c>
      <c r="G12" s="29">
        <v>0</v>
      </c>
      <c r="H12" s="28">
        <v>0</v>
      </c>
      <c r="I12" s="32">
        <v>11758.192999999999</v>
      </c>
      <c r="J12" s="33">
        <v>0</v>
      </c>
      <c r="K12" s="31">
        <v>11758.192999999999</v>
      </c>
      <c r="L12" s="32">
        <v>0</v>
      </c>
      <c r="M12" s="33">
        <v>11871</v>
      </c>
      <c r="N12" s="33">
        <v>0</v>
      </c>
      <c r="O12" s="31">
        <v>11871</v>
      </c>
      <c r="P12" s="33">
        <v>18028</v>
      </c>
      <c r="Q12" s="31">
        <v>65.849999999999994</v>
      </c>
    </row>
    <row r="13" spans="1:17" ht="23.1" customHeight="1" x14ac:dyDescent="0.25">
      <c r="A13" s="43" t="s">
        <v>27</v>
      </c>
      <c r="B13" s="64">
        <v>569</v>
      </c>
      <c r="C13" s="64">
        <v>809.08333000000005</v>
      </c>
      <c r="D13" s="53">
        <v>562</v>
      </c>
      <c r="E13" s="75">
        <v>0</v>
      </c>
      <c r="F13" s="64">
        <v>0</v>
      </c>
      <c r="G13" s="64">
        <v>0</v>
      </c>
      <c r="H13" s="53">
        <v>0</v>
      </c>
      <c r="I13" s="93">
        <v>11016.602000000001</v>
      </c>
      <c r="J13" s="102">
        <v>0</v>
      </c>
      <c r="K13" s="84">
        <v>11016.602000000001</v>
      </c>
      <c r="L13" s="93">
        <v>0</v>
      </c>
      <c r="M13" s="102">
        <v>11050</v>
      </c>
      <c r="N13" s="102">
        <v>0</v>
      </c>
      <c r="O13" s="84">
        <v>11050</v>
      </c>
      <c r="P13" s="102">
        <v>16795</v>
      </c>
      <c r="Q13" s="84">
        <v>65.790000000000006</v>
      </c>
    </row>
    <row r="14" spans="1:17" ht="23.1" customHeight="1" x14ac:dyDescent="0.25">
      <c r="A14" s="45" t="s">
        <v>28</v>
      </c>
      <c r="B14" s="29">
        <v>580</v>
      </c>
      <c r="C14" s="29">
        <v>791.41666666666697</v>
      </c>
      <c r="D14" s="28">
        <v>561</v>
      </c>
      <c r="E14" s="30">
        <v>0</v>
      </c>
      <c r="F14" s="29">
        <v>0</v>
      </c>
      <c r="G14" s="29">
        <v>0</v>
      </c>
      <c r="H14" s="28">
        <v>0</v>
      </c>
      <c r="I14" s="32">
        <v>11123.66</v>
      </c>
      <c r="J14" s="33">
        <v>0</v>
      </c>
      <c r="K14" s="31">
        <v>11123.66</v>
      </c>
      <c r="L14" s="32">
        <v>0</v>
      </c>
      <c r="M14" s="33">
        <v>11028</v>
      </c>
      <c r="N14" s="33">
        <v>0</v>
      </c>
      <c r="O14" s="31">
        <v>11028</v>
      </c>
      <c r="P14" s="33">
        <v>16705</v>
      </c>
      <c r="Q14" s="31">
        <v>66.02</v>
      </c>
    </row>
    <row r="15" spans="1:17" ht="23.1" customHeight="1" x14ac:dyDescent="0.25">
      <c r="A15" s="121" t="s">
        <v>29</v>
      </c>
      <c r="B15" s="2">
        <v>576</v>
      </c>
      <c r="C15" s="2">
        <v>816.91666666666697</v>
      </c>
      <c r="D15" s="13">
        <v>549</v>
      </c>
      <c r="E15" s="24">
        <v>0</v>
      </c>
      <c r="F15" s="2">
        <v>0</v>
      </c>
      <c r="G15" s="2">
        <v>0</v>
      </c>
      <c r="H15" s="13">
        <v>0</v>
      </c>
      <c r="I15" s="44">
        <v>10658.19</v>
      </c>
      <c r="J15" s="49">
        <v>0</v>
      </c>
      <c r="K15" s="35">
        <v>10658.19</v>
      </c>
      <c r="L15" s="44">
        <v>0</v>
      </c>
      <c r="M15" s="49">
        <v>10440</v>
      </c>
      <c r="N15" s="49">
        <v>0</v>
      </c>
      <c r="O15" s="35">
        <v>10440</v>
      </c>
      <c r="P15" s="102">
        <v>16399</v>
      </c>
      <c r="Q15" s="84">
        <v>63.66</v>
      </c>
    </row>
    <row r="16" spans="1:17" ht="23.1" customHeight="1" x14ac:dyDescent="0.25">
      <c r="A16" s="34" t="s">
        <v>30</v>
      </c>
      <c r="B16" s="36">
        <f t="shared" ref="B16:G16" si="0">IFERROR(SUM(B4:B15),"")</f>
        <v>7217</v>
      </c>
      <c r="C16" s="36">
        <f t="shared" si="0"/>
        <v>10243.999630000002</v>
      </c>
      <c r="D16" s="36">
        <f t="shared" si="0"/>
        <v>7114</v>
      </c>
      <c r="E16" s="36">
        <f t="shared" si="0"/>
        <v>0</v>
      </c>
      <c r="F16" s="36">
        <f t="shared" si="0"/>
        <v>0</v>
      </c>
      <c r="G16" s="36">
        <f t="shared" si="0"/>
        <v>0</v>
      </c>
      <c r="H16" s="37" t="str">
        <f>IFERROR(F16/G16*100,"")</f>
        <v/>
      </c>
      <c r="I16" s="37">
        <f t="shared" ref="I16:P16" si="1">IFERROR(SUM(I4:I15),"")</f>
        <v>134138.177</v>
      </c>
      <c r="J16" s="37">
        <f t="shared" si="1"/>
        <v>0</v>
      </c>
      <c r="K16" s="37">
        <f t="shared" si="1"/>
        <v>134138.177</v>
      </c>
      <c r="L16" s="37">
        <f t="shared" si="1"/>
        <v>0</v>
      </c>
      <c r="M16" s="37">
        <f t="shared" si="1"/>
        <v>134240</v>
      </c>
      <c r="N16" s="37">
        <f t="shared" si="1"/>
        <v>0</v>
      </c>
      <c r="O16" s="37">
        <f t="shared" si="1"/>
        <v>134240</v>
      </c>
      <c r="P16" s="38">
        <f t="shared" si="1"/>
        <v>210296</v>
      </c>
      <c r="Q16" s="38">
        <f>IFERROR(O16/P16*100,"")</f>
        <v>63.833834214630805</v>
      </c>
    </row>
    <row r="17" spans="1:17" ht="20.100000000000001" customHeight="1" x14ac:dyDescent="0.25">
      <c r="A17" s="136" t="s">
        <v>43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46" t="s">
        <v>42</v>
      </c>
      <c r="B20" s="147"/>
      <c r="C20" s="148" t="s">
        <v>33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9" t="s">
        <v>41</v>
      </c>
      <c r="P20" s="149"/>
      <c r="Q20" s="150"/>
    </row>
    <row r="21" spans="1:17" ht="51" customHeight="1" x14ac:dyDescent="0.25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37</v>
      </c>
      <c r="I21" s="151" t="s">
        <v>6</v>
      </c>
      <c r="J21" s="151"/>
      <c r="K21" s="151"/>
      <c r="L21" s="151" t="s">
        <v>7</v>
      </c>
      <c r="M21" s="151"/>
      <c r="N21" s="151"/>
      <c r="O21" s="151"/>
      <c r="P21" s="152" t="s">
        <v>8</v>
      </c>
      <c r="Q21" s="152" t="s">
        <v>38</v>
      </c>
    </row>
    <row r="22" spans="1:17" ht="150.75" customHeight="1" x14ac:dyDescent="0.25">
      <c r="A22" s="151"/>
      <c r="B22" s="19" t="s">
        <v>9</v>
      </c>
      <c r="C22" s="19" t="s">
        <v>10</v>
      </c>
      <c r="D22" s="19" t="s">
        <v>11</v>
      </c>
      <c r="E22" s="152"/>
      <c r="F22" s="152"/>
      <c r="G22" s="152"/>
      <c r="H22" s="152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53"/>
      <c r="Q22" s="153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6" t="s">
        <v>43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38" t="s">
        <v>42</v>
      </c>
      <c r="B39" s="139"/>
      <c r="C39" s="140" t="s">
        <v>34</v>
      </c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 t="s">
        <v>41</v>
      </c>
      <c r="P39" s="141"/>
      <c r="Q39" s="142"/>
    </row>
    <row r="40" spans="1:17" ht="39.75" customHeight="1" x14ac:dyDescent="0.25">
      <c r="A40" s="143" t="s">
        <v>1</v>
      </c>
      <c r="B40" s="143" t="s">
        <v>2</v>
      </c>
      <c r="C40" s="143"/>
      <c r="D40" s="143"/>
      <c r="E40" s="144" t="s">
        <v>3</v>
      </c>
      <c r="F40" s="144" t="s">
        <v>4</v>
      </c>
      <c r="G40" s="144" t="s">
        <v>5</v>
      </c>
      <c r="H40" s="144" t="s">
        <v>37</v>
      </c>
      <c r="I40" s="143" t="s">
        <v>6</v>
      </c>
      <c r="J40" s="143"/>
      <c r="K40" s="143"/>
      <c r="L40" s="143" t="s">
        <v>7</v>
      </c>
      <c r="M40" s="143"/>
      <c r="N40" s="143"/>
      <c r="O40" s="143"/>
      <c r="P40" s="144" t="s">
        <v>8</v>
      </c>
      <c r="Q40" s="144" t="s">
        <v>38</v>
      </c>
    </row>
    <row r="41" spans="1:17" ht="178.5" customHeight="1" x14ac:dyDescent="0.25">
      <c r="A41" s="143"/>
      <c r="B41" s="40" t="s">
        <v>9</v>
      </c>
      <c r="C41" s="40" t="s">
        <v>10</v>
      </c>
      <c r="D41" s="40" t="s">
        <v>11</v>
      </c>
      <c r="E41" s="145"/>
      <c r="F41" s="145"/>
      <c r="G41" s="145"/>
      <c r="H41" s="145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45"/>
      <c r="Q41" s="145"/>
    </row>
    <row r="42" spans="1:17" ht="25.5" customHeight="1" x14ac:dyDescent="0.25">
      <c r="A42" s="46" t="s">
        <v>19</v>
      </c>
      <c r="B42" s="103">
        <v>23</v>
      </c>
      <c r="C42" s="104">
        <v>35.5</v>
      </c>
      <c r="D42" s="105">
        <v>26</v>
      </c>
      <c r="E42" s="103">
        <v>0</v>
      </c>
      <c r="F42" s="104">
        <v>0</v>
      </c>
      <c r="G42" s="104">
        <v>0</v>
      </c>
      <c r="H42" s="105">
        <v>0</v>
      </c>
      <c r="I42" s="107">
        <v>451.03</v>
      </c>
      <c r="J42" s="108">
        <v>0</v>
      </c>
      <c r="K42" s="106">
        <v>451.03</v>
      </c>
      <c r="L42" s="107">
        <v>0</v>
      </c>
      <c r="M42" s="108">
        <v>551</v>
      </c>
      <c r="N42" s="108">
        <v>0</v>
      </c>
      <c r="O42" s="106">
        <v>551</v>
      </c>
      <c r="P42" s="107">
        <v>836</v>
      </c>
      <c r="Q42" s="106">
        <v>65.91</v>
      </c>
    </row>
    <row r="43" spans="1:17" ht="25.5" customHeight="1" x14ac:dyDescent="0.25">
      <c r="A43" s="47" t="s">
        <v>20</v>
      </c>
      <c r="B43" s="63">
        <v>13</v>
      </c>
      <c r="C43" s="65">
        <v>17.25</v>
      </c>
      <c r="D43" s="66">
        <v>14</v>
      </c>
      <c r="E43" s="63">
        <v>0</v>
      </c>
      <c r="F43" s="65">
        <v>0</v>
      </c>
      <c r="G43" s="65">
        <v>0</v>
      </c>
      <c r="H43" s="76">
        <v>0</v>
      </c>
      <c r="I43" s="68">
        <v>193.685</v>
      </c>
      <c r="J43" s="69">
        <v>0</v>
      </c>
      <c r="K43" s="67">
        <v>193.685</v>
      </c>
      <c r="L43" s="68">
        <v>0</v>
      </c>
      <c r="M43" s="69">
        <v>203</v>
      </c>
      <c r="N43" s="69">
        <v>0</v>
      </c>
      <c r="O43" s="67">
        <v>203</v>
      </c>
      <c r="P43" s="68">
        <v>437</v>
      </c>
      <c r="Q43" s="67">
        <v>46.45</v>
      </c>
    </row>
    <row r="44" spans="1:17" ht="25.5" customHeight="1" x14ac:dyDescent="0.25">
      <c r="A44" s="46" t="s">
        <v>21</v>
      </c>
      <c r="B44" s="109">
        <v>41</v>
      </c>
      <c r="C44" s="110">
        <v>71.5833333333333</v>
      </c>
      <c r="D44" s="111">
        <v>48</v>
      </c>
      <c r="E44" s="109">
        <v>0</v>
      </c>
      <c r="F44" s="110">
        <v>0</v>
      </c>
      <c r="G44" s="110">
        <v>0</v>
      </c>
      <c r="H44" s="118">
        <v>0</v>
      </c>
      <c r="I44" s="113">
        <v>707.72500000000002</v>
      </c>
      <c r="J44" s="114">
        <v>0</v>
      </c>
      <c r="K44" s="112">
        <v>707.72500000000002</v>
      </c>
      <c r="L44" s="113">
        <v>0</v>
      </c>
      <c r="M44" s="114">
        <v>848</v>
      </c>
      <c r="N44" s="114">
        <v>0</v>
      </c>
      <c r="O44" s="112">
        <v>848</v>
      </c>
      <c r="P44" s="113">
        <v>1151</v>
      </c>
      <c r="Q44" s="112">
        <v>73.680000000000007</v>
      </c>
    </row>
    <row r="45" spans="1:17" ht="25.5" customHeight="1" x14ac:dyDescent="0.25">
      <c r="A45" s="47" t="s">
        <v>22</v>
      </c>
      <c r="B45" s="63">
        <v>29</v>
      </c>
      <c r="C45" s="70">
        <v>34.75</v>
      </c>
      <c r="D45" s="66">
        <v>27</v>
      </c>
      <c r="E45" s="63">
        <v>0</v>
      </c>
      <c r="F45" s="65">
        <v>0</v>
      </c>
      <c r="G45" s="65">
        <v>0</v>
      </c>
      <c r="H45" s="76">
        <v>0</v>
      </c>
      <c r="I45" s="68">
        <v>408.91500000000002</v>
      </c>
      <c r="J45" s="69">
        <v>0</v>
      </c>
      <c r="K45" s="67">
        <v>408.91500000000002</v>
      </c>
      <c r="L45" s="68">
        <v>0</v>
      </c>
      <c r="M45" s="69">
        <v>419</v>
      </c>
      <c r="N45" s="69">
        <v>0</v>
      </c>
      <c r="O45" s="67">
        <v>419</v>
      </c>
      <c r="P45" s="68">
        <v>574</v>
      </c>
      <c r="Q45" s="67">
        <v>73</v>
      </c>
    </row>
    <row r="46" spans="1:17" ht="25.5" customHeight="1" x14ac:dyDescent="0.25">
      <c r="A46" s="46" t="s">
        <v>23</v>
      </c>
      <c r="B46" s="109">
        <v>28</v>
      </c>
      <c r="C46" s="115">
        <v>37.75</v>
      </c>
      <c r="D46" s="111">
        <v>26</v>
      </c>
      <c r="E46" s="109">
        <v>0</v>
      </c>
      <c r="F46" s="110">
        <v>0</v>
      </c>
      <c r="G46" s="110">
        <v>0</v>
      </c>
      <c r="H46" s="118">
        <v>0</v>
      </c>
      <c r="I46" s="113">
        <v>402.42500000000001</v>
      </c>
      <c r="J46" s="114">
        <v>0</v>
      </c>
      <c r="K46" s="112">
        <v>402.42500000000001</v>
      </c>
      <c r="L46" s="113">
        <v>0</v>
      </c>
      <c r="M46" s="114">
        <v>400</v>
      </c>
      <c r="N46" s="114">
        <v>0</v>
      </c>
      <c r="O46" s="112">
        <v>400</v>
      </c>
      <c r="P46" s="113">
        <v>720</v>
      </c>
      <c r="Q46" s="112">
        <v>55.56</v>
      </c>
    </row>
    <row r="47" spans="1:17" ht="25.5" customHeight="1" x14ac:dyDescent="0.25">
      <c r="A47" s="47" t="s">
        <v>39</v>
      </c>
      <c r="B47" s="71">
        <v>25</v>
      </c>
      <c r="C47" s="72">
        <v>29.6666666666667</v>
      </c>
      <c r="D47" s="66">
        <v>22</v>
      </c>
      <c r="E47" s="71">
        <v>0</v>
      </c>
      <c r="F47" s="72">
        <v>0</v>
      </c>
      <c r="G47" s="72">
        <v>0</v>
      </c>
      <c r="H47" s="76">
        <v>0</v>
      </c>
      <c r="I47" s="73">
        <v>364.298</v>
      </c>
      <c r="J47" s="74">
        <v>0</v>
      </c>
      <c r="K47" s="67">
        <v>364.298</v>
      </c>
      <c r="L47" s="73">
        <v>0</v>
      </c>
      <c r="M47" s="74">
        <v>355</v>
      </c>
      <c r="N47" s="74">
        <v>0</v>
      </c>
      <c r="O47" s="67">
        <v>355</v>
      </c>
      <c r="P47" s="73">
        <v>511</v>
      </c>
      <c r="Q47" s="67">
        <v>69.47</v>
      </c>
    </row>
    <row r="48" spans="1:17" ht="25.5" customHeight="1" x14ac:dyDescent="0.25">
      <c r="A48" s="46" t="s">
        <v>40</v>
      </c>
      <c r="B48" s="116">
        <v>101</v>
      </c>
      <c r="C48" s="117">
        <v>151.416666666667</v>
      </c>
      <c r="D48" s="118">
        <v>114</v>
      </c>
      <c r="E48" s="116">
        <v>0</v>
      </c>
      <c r="F48" s="117">
        <v>0</v>
      </c>
      <c r="G48" s="117">
        <v>0</v>
      </c>
      <c r="H48" s="118">
        <v>0</v>
      </c>
      <c r="I48" s="119">
        <v>1684.8489999999999</v>
      </c>
      <c r="J48" s="120">
        <v>0</v>
      </c>
      <c r="K48" s="112">
        <v>1684.8489999999999</v>
      </c>
      <c r="L48" s="119">
        <v>0</v>
      </c>
      <c r="M48" s="120">
        <v>2100</v>
      </c>
      <c r="N48" s="120">
        <v>0</v>
      </c>
      <c r="O48" s="112">
        <v>2100</v>
      </c>
      <c r="P48" s="119">
        <v>3003</v>
      </c>
      <c r="Q48" s="112">
        <v>69.930000000000007</v>
      </c>
    </row>
    <row r="49" spans="1:17" ht="25.5" customHeight="1" x14ac:dyDescent="0.25">
      <c r="A49" s="47" t="s">
        <v>25</v>
      </c>
      <c r="B49" s="71">
        <v>55</v>
      </c>
      <c r="C49" s="72">
        <v>77.5</v>
      </c>
      <c r="D49" s="76">
        <v>57</v>
      </c>
      <c r="E49" s="71">
        <v>0</v>
      </c>
      <c r="F49" s="72">
        <v>0</v>
      </c>
      <c r="G49" s="72">
        <v>0</v>
      </c>
      <c r="H49" s="76">
        <v>0</v>
      </c>
      <c r="I49" s="73">
        <v>813.68200000000002</v>
      </c>
      <c r="J49" s="74">
        <v>0</v>
      </c>
      <c r="K49" s="67">
        <v>813.68200000000002</v>
      </c>
      <c r="L49" s="73">
        <v>0</v>
      </c>
      <c r="M49" s="74">
        <v>960</v>
      </c>
      <c r="N49" s="74">
        <v>0</v>
      </c>
      <c r="O49" s="67">
        <v>960</v>
      </c>
      <c r="P49" s="73">
        <v>1426</v>
      </c>
      <c r="Q49" s="67">
        <v>67.319999999999993</v>
      </c>
    </row>
    <row r="50" spans="1:17" ht="25.5" customHeight="1" x14ac:dyDescent="0.25">
      <c r="A50" s="46" t="s">
        <v>26</v>
      </c>
      <c r="B50" s="116">
        <v>38</v>
      </c>
      <c r="C50" s="117">
        <v>55.0833333333333</v>
      </c>
      <c r="D50" s="118">
        <v>41</v>
      </c>
      <c r="E50" s="116">
        <v>0</v>
      </c>
      <c r="F50" s="117">
        <v>0</v>
      </c>
      <c r="G50" s="117">
        <v>0</v>
      </c>
      <c r="H50" s="118">
        <v>0</v>
      </c>
      <c r="I50" s="119">
        <v>514.67899999999997</v>
      </c>
      <c r="J50" s="120">
        <v>0</v>
      </c>
      <c r="K50" s="112">
        <v>514.67899999999997</v>
      </c>
      <c r="L50" s="119">
        <v>0</v>
      </c>
      <c r="M50" s="120">
        <v>579</v>
      </c>
      <c r="N50" s="120">
        <v>0</v>
      </c>
      <c r="O50" s="112">
        <v>579</v>
      </c>
      <c r="P50" s="119">
        <v>1106</v>
      </c>
      <c r="Q50" s="112">
        <v>52.35</v>
      </c>
    </row>
    <row r="51" spans="1:17" ht="25.5" customHeight="1" x14ac:dyDescent="0.25">
      <c r="A51" s="47" t="s">
        <v>27</v>
      </c>
      <c r="B51" s="71">
        <v>70</v>
      </c>
      <c r="C51" s="72">
        <v>111.41665999999999</v>
      </c>
      <c r="D51" s="76">
        <v>83</v>
      </c>
      <c r="E51" s="71">
        <v>0</v>
      </c>
      <c r="F51" s="72">
        <v>0</v>
      </c>
      <c r="G51" s="72">
        <v>0</v>
      </c>
      <c r="H51" s="76">
        <v>0</v>
      </c>
      <c r="I51" s="73">
        <v>1191.808</v>
      </c>
      <c r="J51" s="74">
        <v>0</v>
      </c>
      <c r="K51" s="67">
        <v>1191.808</v>
      </c>
      <c r="L51" s="73">
        <v>0</v>
      </c>
      <c r="M51" s="74">
        <v>1452</v>
      </c>
      <c r="N51" s="74">
        <v>0</v>
      </c>
      <c r="O51" s="67">
        <v>1452</v>
      </c>
      <c r="P51" s="73">
        <v>2233</v>
      </c>
      <c r="Q51" s="67">
        <v>65.02</v>
      </c>
    </row>
    <row r="52" spans="1:17" ht="25.5" customHeight="1" x14ac:dyDescent="0.25">
      <c r="A52" s="46" t="s">
        <v>28</v>
      </c>
      <c r="B52" s="116">
        <v>62</v>
      </c>
      <c r="C52" s="117">
        <v>99.9166666666667</v>
      </c>
      <c r="D52" s="118">
        <v>70</v>
      </c>
      <c r="E52" s="116">
        <v>0</v>
      </c>
      <c r="F52" s="117">
        <v>0</v>
      </c>
      <c r="G52" s="117">
        <v>0</v>
      </c>
      <c r="H52" s="118">
        <v>0</v>
      </c>
      <c r="I52" s="119">
        <v>846.96199999999999</v>
      </c>
      <c r="J52" s="120">
        <v>0</v>
      </c>
      <c r="K52" s="112">
        <v>846.96199999999999</v>
      </c>
      <c r="L52" s="119">
        <v>0</v>
      </c>
      <c r="M52" s="120">
        <v>1029</v>
      </c>
      <c r="N52" s="120">
        <v>0</v>
      </c>
      <c r="O52" s="112">
        <v>1029</v>
      </c>
      <c r="P52" s="119">
        <v>1744</v>
      </c>
      <c r="Q52" s="112">
        <v>59</v>
      </c>
    </row>
    <row r="53" spans="1:17" ht="25.5" customHeight="1" x14ac:dyDescent="0.25">
      <c r="A53" s="47" t="s">
        <v>29</v>
      </c>
      <c r="B53" s="77">
        <v>94</v>
      </c>
      <c r="C53" s="78">
        <v>164.25</v>
      </c>
      <c r="D53" s="79">
        <v>119</v>
      </c>
      <c r="E53" s="77">
        <v>0</v>
      </c>
      <c r="F53" s="78">
        <v>0</v>
      </c>
      <c r="G53" s="78">
        <v>0</v>
      </c>
      <c r="H53" s="79">
        <v>0</v>
      </c>
      <c r="I53" s="81">
        <v>1776.3440000000001</v>
      </c>
      <c r="J53" s="82">
        <v>0</v>
      </c>
      <c r="K53" s="80">
        <v>1776.3440000000001</v>
      </c>
      <c r="L53" s="81">
        <v>0</v>
      </c>
      <c r="M53" s="82">
        <v>2324</v>
      </c>
      <c r="N53" s="82">
        <v>0</v>
      </c>
      <c r="O53" s="80">
        <v>2324</v>
      </c>
      <c r="P53" s="81">
        <v>3582</v>
      </c>
      <c r="Q53" s="80">
        <v>64.88</v>
      </c>
    </row>
    <row r="54" spans="1:17" ht="25.5" customHeight="1" x14ac:dyDescent="0.25">
      <c r="A54" s="122" t="s">
        <v>30</v>
      </c>
      <c r="B54" s="123">
        <f t="shared" ref="B54:G54" si="4">IFERROR(SUM(B42:B53),"")</f>
        <v>579</v>
      </c>
      <c r="C54" s="123">
        <f t="shared" si="4"/>
        <v>886.08332666666706</v>
      </c>
      <c r="D54" s="123">
        <f t="shared" si="4"/>
        <v>647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9356.4020000000019</v>
      </c>
      <c r="J54" s="124">
        <f t="shared" si="5"/>
        <v>0</v>
      </c>
      <c r="K54" s="124">
        <f t="shared" si="5"/>
        <v>9356.4020000000019</v>
      </c>
      <c r="L54" s="124">
        <f t="shared" si="5"/>
        <v>0</v>
      </c>
      <c r="M54" s="124">
        <f t="shared" si="5"/>
        <v>11220</v>
      </c>
      <c r="N54" s="124">
        <f t="shared" si="5"/>
        <v>0</v>
      </c>
      <c r="O54" s="124">
        <f t="shared" si="5"/>
        <v>11220</v>
      </c>
      <c r="P54" s="125">
        <f t="shared" si="5"/>
        <v>17323</v>
      </c>
      <c r="Q54" s="124">
        <f>IFERROR(O54/P54*100,"")</f>
        <v>64.769381746810595</v>
      </c>
    </row>
    <row r="55" spans="1:17" ht="22.5" customHeight="1" x14ac:dyDescent="0.25">
      <c r="A55" s="136" t="s">
        <v>43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28" t="s">
        <v>42</v>
      </c>
      <c r="B58" s="129"/>
      <c r="C58" s="130" t="s">
        <v>35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1" t="s">
        <v>41</v>
      </c>
      <c r="P58" s="131"/>
      <c r="Q58" s="132"/>
    </row>
    <row r="59" spans="1:17" ht="33.75" customHeight="1" x14ac:dyDescent="0.25">
      <c r="A59" s="133" t="s">
        <v>1</v>
      </c>
      <c r="B59" s="133" t="s">
        <v>2</v>
      </c>
      <c r="C59" s="133"/>
      <c r="D59" s="133"/>
      <c r="E59" s="134" t="s">
        <v>3</v>
      </c>
      <c r="F59" s="134" t="s">
        <v>4</v>
      </c>
      <c r="G59" s="134" t="s">
        <v>5</v>
      </c>
      <c r="H59" s="134" t="s">
        <v>37</v>
      </c>
      <c r="I59" s="133" t="s">
        <v>6</v>
      </c>
      <c r="J59" s="133"/>
      <c r="K59" s="133"/>
      <c r="L59" s="133" t="s">
        <v>7</v>
      </c>
      <c r="M59" s="133"/>
      <c r="N59" s="133"/>
      <c r="O59" s="133"/>
      <c r="P59" s="134" t="s">
        <v>8</v>
      </c>
      <c r="Q59" s="134" t="s">
        <v>38</v>
      </c>
    </row>
    <row r="60" spans="1:17" ht="164.25" customHeight="1" x14ac:dyDescent="0.25">
      <c r="A60" s="133"/>
      <c r="B60" s="39" t="s">
        <v>9</v>
      </c>
      <c r="C60" s="39" t="s">
        <v>10</v>
      </c>
      <c r="D60" s="39" t="s">
        <v>11</v>
      </c>
      <c r="E60" s="135"/>
      <c r="F60" s="135"/>
      <c r="G60" s="135"/>
      <c r="H60" s="135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35"/>
      <c r="Q60" s="135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6" t="s">
        <v>43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2026-02-06T06:45:46Z</dcterms:modified>
</cp:coreProperties>
</file>