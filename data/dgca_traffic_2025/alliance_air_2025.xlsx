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  <c r="Q35" i="1" l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<sst xmlns="http://schemas.openxmlformats.org/spreadsheetml/2006/main" count="157" uniqueCount="44">
  <si>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</si>
  <si>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</si>
  <si>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</si>
  <si>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</si>
  <si>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</si>
  <si>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</si>
  <si>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</si>
  <si>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</si>
  <si>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</si>
  <si>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</si>
  <si>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</si>
  <si>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</si>
  <si>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</si>
  <si>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</si>
  <si>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</si>
  <si>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</si>
  <si>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</si>
  <si>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</si>
  <si>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</si>
  <si>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</si>
  <si>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</si>
  <si>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</si>
  <si>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</si>
  <si>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</si>
  <si>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</si>
  <si>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</si>
  <si>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</si>
  <si>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</si>
  <si>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</si>
  <si>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</si>
  <si>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</si>
  <si>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</si>
  <si>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</si>
  <si>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</si>
  <si>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</si>
  <si>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</si>
  <si>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</si>
  <si>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</si>
  <si>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</si>
  <si>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</si>
  <si>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</si>
  <si>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ALLIANCE AIR</t>
  </si>
  <si>
    <t>2025</t>
  </si>
  <si>
    <t>SOURCE:-ICAO ATR FORM A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</si>
</sst>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55" zoomScaleNormal="85" zoomScaleSheetLayoutView="55" workbookViewId="0">
      <selection activeCell="L52" sqref="L52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1953</v>
      </c>
      <c r="C4" s="21">
        <v>2704</v>
      </c>
      <c r="D4" s="22">
        <v>782.94</v>
      </c>
      <c r="E4" s="23">
        <v>90895</v>
      </c>
      <c r="F4" s="21">
        <v>38440.167999999998</v>
      </c>
      <c r="G4" s="21">
        <v>49509.391000000003</v>
      </c>
      <c r="H4" s="25">
        <v>77.64</v>
      </c>
      <c r="I4" s="26">
        <v>4.8000000000000001E-2</v>
      </c>
      <c r="J4" s="27">
        <v>0</v>
      </c>
      <c r="K4" s="25">
        <v>4.8000000000000001E-2</v>
      </c>
      <c r="L4" s="26">
        <v>3498.0553</v>
      </c>
      <c r="M4" s="27">
        <v>1E-4</v>
      </c>
      <c r="N4" s="27">
        <v>0</v>
      </c>
      <c r="O4" s="25">
        <v>3498.0554000000002</v>
      </c>
      <c r="P4" s="27">
        <v>4759.3418000000001</v>
      </c>
      <c r="Q4" s="25">
        <v>73.5</v>
      </c>
    </row>
    <row r="5" spans="1:17" ht="23.1" customHeight="1" x14ac:dyDescent="0.25">
      <c r="A5" s="43" t="s">
        <v>20</v>
      </c>
      <c r="B5" s="64">
        <v>1710</v>
      </c>
      <c r="C5" s="64">
        <v>2497</v>
      </c>
      <c r="D5" s="53">
        <v>728.02</v>
      </c>
      <c r="E5" s="75">
        <v>85992</v>
      </c>
      <c r="F5" s="64">
        <v>38733.658000000003</v>
      </c>
      <c r="G5" s="64">
        <v>46649.684999999998</v>
      </c>
      <c r="H5" s="84">
        <v>83.03</v>
      </c>
      <c r="I5" s="93">
        <v>0</v>
      </c>
      <c r="J5" s="102">
        <v>0</v>
      </c>
      <c r="K5" s="84">
        <v>0</v>
      </c>
      <c r="L5" s="93">
        <v>3524.7629000000002</v>
      </c>
      <c r="M5" s="102">
        <v>0</v>
      </c>
      <c r="N5" s="102">
        <v>0</v>
      </c>
      <c r="O5" s="84">
        <v>3524.7629000000002</v>
      </c>
      <c r="P5" s="102">
        <v>4474.4141</v>
      </c>
      <c r="Q5" s="84">
        <v>78.78</v>
      </c>
    </row>
    <row r="6" spans="1:17" ht="23.1" customHeight="1" x14ac:dyDescent="0.25">
      <c r="A6" s="45" t="s">
        <v>21</v>
      </c>
      <c r="B6" s="29">
        <v>1697</v>
      </c>
      <c r="C6" s="29">
        <v>2346</v>
      </c>
      <c r="D6" s="28">
        <v>663.59699999999998</v>
      </c>
      <c r="E6" s="30">
        <v>77945</v>
      </c>
      <c r="F6" s="29">
        <v>32129.95</v>
      </c>
      <c r="G6" s="29">
        <v>42326.896000000001</v>
      </c>
      <c r="H6" s="31">
        <v>75.91</v>
      </c>
      <c r="I6" s="32">
        <v>6.9000000000000006E-2</v>
      </c>
      <c r="J6" s="33">
        <v>0</v>
      </c>
      <c r="K6" s="31">
        <v>6.9000000000000006E-2</v>
      </c>
      <c r="L6" s="32">
        <v>2923.8254999999999</v>
      </c>
      <c r="M6" s="33">
        <v>1E-4</v>
      </c>
      <c r="N6" s="33">
        <v>0</v>
      </c>
      <c r="O6" s="31">
        <v>2923.8256000000001</v>
      </c>
      <c r="P6" s="33">
        <v>4069.8085000000001</v>
      </c>
      <c r="Q6" s="31">
        <v>71.84</v>
      </c>
    </row>
    <row r="7" spans="1:17" ht="23.1" customHeight="1" x14ac:dyDescent="0.25">
      <c r="A7" s="43" t="s">
        <v>22</v>
      </c>
      <c r="B7" s="64">
        <v>1637</v>
      </c>
      <c r="C7" s="64">
        <v>2229</v>
      </c>
      <c r="D7" s="53">
        <v>605.11199999999997</v>
      </c>
      <c r="E7" s="75">
        <v>75957</v>
      </c>
      <c r="F7" s="64">
        <v>30123.063999999998</v>
      </c>
      <c r="G7" s="64">
        <v>39734.389000000003</v>
      </c>
      <c r="H7" s="84">
        <v>75.81</v>
      </c>
      <c r="I7" s="93">
        <v>0.14399999999999999</v>
      </c>
      <c r="J7" s="102">
        <v>0</v>
      </c>
      <c r="K7" s="84">
        <v>0.14399999999999999</v>
      </c>
      <c r="L7" s="93">
        <v>2741.1988000000001</v>
      </c>
      <c r="M7" s="102">
        <v>1E-4</v>
      </c>
      <c r="N7" s="102">
        <v>0</v>
      </c>
      <c r="O7" s="84">
        <v>2741.1988999999999</v>
      </c>
      <c r="P7" s="102">
        <v>3806.7138</v>
      </c>
      <c r="Q7" s="84">
        <v>72.010000000000005</v>
      </c>
    </row>
    <row r="8" spans="1:17" ht="30" customHeight="1" x14ac:dyDescent="0.25">
      <c r="A8" s="45" t="s">
        <v>23</v>
      </c>
      <c r="B8" s="29">
        <v>1420</v>
      </c>
      <c r="C8" s="29">
        <v>1952</v>
      </c>
      <c r="D8" s="28">
        <v>543.51199999999994</v>
      </c>
      <c r="E8" s="30">
        <v>62159</v>
      </c>
      <c r="F8" s="29">
        <v>25337.841</v>
      </c>
      <c r="G8" s="29">
        <v>34260.792999999998</v>
      </c>
      <c r="H8" s="31">
        <v>73.959999999999994</v>
      </c>
      <c r="I8" s="32">
        <v>0</v>
      </c>
      <c r="J8" s="33">
        <v>0</v>
      </c>
      <c r="K8" s="31">
        <v>0</v>
      </c>
      <c r="L8" s="32">
        <v>2305.7435</v>
      </c>
      <c r="M8" s="33">
        <v>0</v>
      </c>
      <c r="N8" s="33">
        <v>0</v>
      </c>
      <c r="O8" s="31">
        <v>2305.7435</v>
      </c>
      <c r="P8" s="33">
        <v>3286.3362999999999</v>
      </c>
      <c r="Q8" s="31">
        <v>70.16</v>
      </c>
    </row>
    <row r="9" spans="1:17" ht="23.1" customHeight="1" x14ac:dyDescent="0.25">
      <c r="A9" s="43" t="s">
        <v>39</v>
      </c>
      <c r="B9" s="64">
        <v>1630</v>
      </c>
      <c r="C9" s="64">
        <v>2241</v>
      </c>
      <c r="D9" s="53">
        <v>624.61099999999999</v>
      </c>
      <c r="E9" s="75">
        <v>66355</v>
      </c>
      <c r="F9" s="64">
        <v>27047.685000000001</v>
      </c>
      <c r="G9" s="64">
        <v>39831.440000000002</v>
      </c>
      <c r="H9" s="84">
        <v>67.91</v>
      </c>
      <c r="I9" s="93">
        <v>0</v>
      </c>
      <c r="J9" s="102">
        <v>0</v>
      </c>
      <c r="K9" s="84">
        <v>0</v>
      </c>
      <c r="L9" s="93">
        <v>2461.3393000000001</v>
      </c>
      <c r="M9" s="102">
        <v>0</v>
      </c>
      <c r="N9" s="102">
        <v>0</v>
      </c>
      <c r="O9" s="84">
        <v>2461.3393000000001</v>
      </c>
      <c r="P9" s="102">
        <v>3816.1550000000002</v>
      </c>
      <c r="Q9" s="84">
        <v>64.5</v>
      </c>
    </row>
    <row r="10" spans="1:17" ht="23.1" customHeight="1" x14ac:dyDescent="0.25">
      <c r="A10" s="45" t="s">
        <v>24</v>
      </c>
      <c r="B10" s="29">
        <v>1254</v>
      </c>
      <c r="C10" s="29">
        <v>1781</v>
      </c>
      <c r="D10" s="28">
        <v>505.75900000000001</v>
      </c>
      <c r="E10" s="30">
        <v>46012</v>
      </c>
      <c r="F10" s="29">
        <v>19844.949000000001</v>
      </c>
      <c r="G10" s="29">
        <v>31630.295999999998</v>
      </c>
      <c r="H10" s="31">
        <v>62.74</v>
      </c>
      <c r="I10" s="32">
        <v>0</v>
      </c>
      <c r="J10" s="33">
        <v>0</v>
      </c>
      <c r="K10" s="31">
        <v>0</v>
      </c>
      <c r="L10" s="32">
        <v>1805.8904</v>
      </c>
      <c r="M10" s="33">
        <v>0</v>
      </c>
      <c r="N10" s="33">
        <v>0</v>
      </c>
      <c r="O10" s="31">
        <v>1805.8904</v>
      </c>
      <c r="P10" s="33">
        <v>3035.1909999999998</v>
      </c>
      <c r="Q10" s="31">
        <v>59.5</v>
      </c>
    </row>
    <row r="11" spans="1:17" ht="23.1" customHeight="1" x14ac:dyDescent="0.25">
      <c r="A11" s="43" t="s">
        <v>25</v>
      </c>
      <c r="B11" s="64">
        <v>966</v>
      </c>
      <c r="C11" s="64">
        <v>1361</v>
      </c>
      <c r="D11" s="53">
        <v>394.32100000000003</v>
      </c>
      <c r="E11" s="75">
        <v>37473</v>
      </c>
      <c r="F11" s="64">
        <v>16441.751</v>
      </c>
      <c r="G11" s="64">
        <v>23927.296999999999</v>
      </c>
      <c r="H11" s="84">
        <v>68.72</v>
      </c>
      <c r="I11" s="93">
        <v>0</v>
      </c>
      <c r="J11" s="102">
        <v>0</v>
      </c>
      <c r="K11" s="84">
        <v>0</v>
      </c>
      <c r="L11" s="93">
        <v>1496.1993</v>
      </c>
      <c r="M11" s="102">
        <v>0</v>
      </c>
      <c r="N11" s="102">
        <v>0</v>
      </c>
      <c r="O11" s="84">
        <v>1496.1993</v>
      </c>
      <c r="P11" s="102">
        <v>2297.9971999999998</v>
      </c>
      <c r="Q11" s="84">
        <v>65.11</v>
      </c>
    </row>
    <row r="12" spans="1:17" ht="23.1" customHeight="1" x14ac:dyDescent="0.25">
      <c r="A12" s="45" t="s">
        <v>26</v>
      </c>
      <c r="B12" s="29">
        <v>1094</v>
      </c>
      <c r="C12" s="29">
        <v>1498</v>
      </c>
      <c r="D12" s="28">
        <v>424.73</v>
      </c>
      <c r="E12" s="30">
        <v>43562</v>
      </c>
      <c r="F12" s="29">
        <v>17909.504000000001</v>
      </c>
      <c r="G12" s="29">
        <v>26784.423999999999</v>
      </c>
      <c r="H12" s="31">
        <v>66.87</v>
      </c>
      <c r="I12" s="32">
        <v>0</v>
      </c>
      <c r="J12" s="33">
        <v>0</v>
      </c>
      <c r="K12" s="31">
        <v>0</v>
      </c>
      <c r="L12" s="32">
        <v>1629.7648999999999</v>
      </c>
      <c r="M12" s="33">
        <v>0</v>
      </c>
      <c r="N12" s="33">
        <v>0</v>
      </c>
      <c r="O12" s="31">
        <v>1629.7648999999999</v>
      </c>
      <c r="P12" s="33">
        <v>2568.8836999999999</v>
      </c>
      <c r="Q12" s="31">
        <v>63.44</v>
      </c>
    </row>
    <row r="13" spans="1:17" ht="23.1" customHeight="1" x14ac:dyDescent="0.25">
      <c r="A13" s="43" t="s">
        <v>27</v>
      </c>
      <c r="B13" s="64">
        <v>701</v>
      </c>
      <c r="C13" s="64">
        <v>946</v>
      </c>
      <c r="D13" s="53">
        <v>267.52600000000001</v>
      </c>
      <c r="E13" s="75">
        <v>29206</v>
      </c>
      <c r="F13" s="64">
        <v>11936.501</v>
      </c>
      <c r="G13" s="64">
        <v>17489.724999999999</v>
      </c>
      <c r="H13" s="84">
        <v>68.25</v>
      </c>
      <c r="I13" s="93">
        <v>0</v>
      </c>
      <c r="J13" s="102">
        <v>0</v>
      </c>
      <c r="K13" s="84">
        <v>0</v>
      </c>
      <c r="L13" s="93">
        <v>1086.2216000000001</v>
      </c>
      <c r="M13" s="102">
        <v>0</v>
      </c>
      <c r="N13" s="102">
        <v>0</v>
      </c>
      <c r="O13" s="84">
        <v>1086.2216000000001</v>
      </c>
      <c r="P13" s="102">
        <v>1677.5477000000001</v>
      </c>
      <c r="Q13" s="84">
        <v>64.75</v>
      </c>
    </row>
    <row r="14" spans="1:17" ht="23.1" customHeight="1" x14ac:dyDescent="0.25">
      <c r="A14" s="45" t="s">
        <v>28</v>
      </c>
      <c r="B14" s="29">
        <v>1415</v>
      </c>
      <c r="C14" s="29">
        <v>1938</v>
      </c>
      <c r="D14" s="28">
        <v>559.76800000000003</v>
      </c>
      <c r="E14" s="30">
        <v>57557</v>
      </c>
      <c r="F14" s="29">
        <v>23728.087</v>
      </c>
      <c r="G14" s="29">
        <v>37243.837</v>
      </c>
      <c r="H14" s="31">
        <v>63.71</v>
      </c>
      <c r="I14" s="32">
        <v>0</v>
      </c>
      <c r="J14" s="33">
        <v>0</v>
      </c>
      <c r="K14" s="31">
        <v>0</v>
      </c>
      <c r="L14" s="32">
        <v>2159.2559000000001</v>
      </c>
      <c r="M14" s="33">
        <v>0</v>
      </c>
      <c r="N14" s="33">
        <v>0</v>
      </c>
      <c r="O14" s="31">
        <v>2159.2559000000001</v>
      </c>
      <c r="P14" s="33">
        <v>3560.6662000000001</v>
      </c>
      <c r="Q14" s="31">
        <v>60.64</v>
      </c>
    </row>
    <row r="15" spans="1:17" ht="23.1" customHeight="1" x14ac:dyDescent="0.25">
      <c r="A15" s="121" t="s">
        <v>29</v>
      </c>
      <c r="B15" s="2">
        <v>1276</v>
      </c>
      <c r="C15" s="2">
        <v>1773</v>
      </c>
      <c r="D15" s="13">
        <v>523.98199999999997</v>
      </c>
      <c r="E15" s="24">
        <v>57030</v>
      </c>
      <c r="F15" s="2">
        <v>24556.385999999999</v>
      </c>
      <c r="G15" s="2">
        <v>34576.142999999996</v>
      </c>
      <c r="H15" s="35">
        <v>71.02</v>
      </c>
      <c r="I15" s="44">
        <v>0</v>
      </c>
      <c r="J15" s="49">
        <v>0</v>
      </c>
      <c r="K15" s="35">
        <v>0</v>
      </c>
      <c r="L15" s="44">
        <v>2234.6311000000001</v>
      </c>
      <c r="M15" s="49">
        <v>0</v>
      </c>
      <c r="N15" s="49">
        <v>0</v>
      </c>
      <c r="O15" s="35">
        <v>2234.6311000000001</v>
      </c>
      <c r="P15" s="102">
        <v>3306.3557000000001</v>
      </c>
      <c r="Q15" s="84">
        <v>67.59</v>
      </c>
    </row>
    <row r="16" spans="1:17" ht="23.1" customHeight="1" x14ac:dyDescent="0.25">
      <c r="A16" s="34" t="s">
        <v>30</v>
      </c>
      <c r="B16" s="36">
        <f t="shared" ref="B16:G16" si="0">IFERROR(SUM(B4:B15),"")</f>
        <v>16753</v>
      </c>
      <c r="C16" s="36">
        <f t="shared" si="0"/>
        <v>23266</v>
      </c>
      <c r="D16" s="36">
        <f t="shared" si="0"/>
        <v>6623.8779999999988</v>
      </c>
      <c r="E16" s="36">
        <f t="shared" si="0"/>
        <v>730143</v>
      </c>
      <c r="F16" s="36">
        <f t="shared" si="0"/>
        <v>306229.54399999994</v>
      </c>
      <c r="G16" s="36">
        <f t="shared" si="0"/>
        <v>423964.31599999999</v>
      </c>
      <c r="H16" s="37">
        <f>IFERROR(F16/G16*100,"")</f>
        <v>72.23002796301374</v>
      </c>
      <c r="I16" s="37">
        <f t="shared" ref="I16:P16" si="1">IFERROR(SUM(I4:I15),"")</f>
        <v>0.26100000000000001</v>
      </c>
      <c r="J16" s="37">
        <f t="shared" si="1"/>
        <v>0</v>
      </c>
      <c r="K16" s="37">
        <f t="shared" si="1"/>
        <v>0.26100000000000001</v>
      </c>
      <c r="L16" s="37">
        <f t="shared" si="1"/>
        <v>27866.888500000001</v>
      </c>
      <c r="M16" s="37">
        <f t="shared" si="1"/>
        <v>3.0000000000000003E-4</v>
      </c>
      <c r="N16" s="37">
        <f t="shared" si="1"/>
        <v>0</v>
      </c>
      <c r="O16" s="37">
        <f t="shared" si="1"/>
        <v>27866.888800000001</v>
      </c>
      <c r="P16" s="38">
        <f t="shared" si="1"/>
        <v>40659.411</v>
      </c>
      <c r="Q16" s="38">
        <f>IFERROR(O16/P16*100,"")</f>
        <v>68.537364695223943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>
        <v>2</v>
      </c>
      <c r="C45" s="70">
        <v>2</v>
      </c>
      <c r="D45" s="66">
        <v>0.46200000000000002</v>
      </c>
      <c r="E45" s="63">
        <v>126</v>
      </c>
      <c r="F45" s="65">
        <v>29.106000000000002</v>
      </c>
      <c r="G45" s="65">
        <v>32.340000000000003</v>
      </c>
      <c r="H45" s="67">
        <v>90</v>
      </c>
      <c r="I45" s="68">
        <v>0</v>
      </c>
      <c r="J45" s="69">
        <v>0</v>
      </c>
      <c r="K45" s="67">
        <v>0</v>
      </c>
      <c r="L45" s="68">
        <v>2.6486000000000001</v>
      </c>
      <c r="M45" s="69">
        <v>0</v>
      </c>
      <c r="N45" s="69">
        <v>0</v>
      </c>
      <c r="O45" s="67">
        <v>2.6486000000000001</v>
      </c>
      <c r="P45" s="68">
        <v>3.0722999999999998</v>
      </c>
      <c r="Q45" s="67">
        <v>86.21</v>
      </c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2</v>
      </c>
      <c r="C54" s="123">
        <f t="shared" si="4"/>
        <v>2</v>
      </c>
      <c r="D54" s="123">
        <f t="shared" si="4"/>
        <v>0.46200000000000002</v>
      </c>
      <c r="E54" s="123">
        <f t="shared" si="4"/>
        <v>126</v>
      </c>
      <c r="F54" s="123">
        <f t="shared" si="4"/>
        <v>29.106000000000002</v>
      </c>
      <c r="G54" s="123">
        <f t="shared" si="4"/>
        <v>32.340000000000003</v>
      </c>
      <c r="H54" s="124">
        <f>IFERROR(F54/G54*100,"")</f>
        <v>89.999999999999986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2.6486000000000001</v>
      </c>
      <c r="M54" s="124">
        <f t="shared" si="5"/>
        <v>0</v>
      </c>
      <c r="N54" s="124">
        <f t="shared" si="5"/>
        <v>0</v>
      </c>
      <c r="O54" s="124">
        <f t="shared" si="5"/>
        <v>2.6486000000000001</v>
      </c>
      <c r="P54" s="125">
        <f t="shared" si="5"/>
        <v>3.0722999999999998</v>
      </c>
      <c r="Q54" s="124">
        <f>IFERROR(O54/P54*100,"")</f>
        <v>86.209029066171922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2026-01-28T10:17:31Z</dcterms:modified>
</cp:coreProperties>
</file>