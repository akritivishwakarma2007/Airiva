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H35" i="1" s="1"/>
  <c r="F35" i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<sst xmlns="http://schemas.openxmlformats.org/spreadsheetml/2006/main" count="157" uniqueCount="44">
  <si>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</si>
  <si>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</si>
  <si>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</si>
  <si>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</si>
  <si>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</si>
  <si>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</si>
  <si>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</si>
  <si>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</si>
  <si>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</si>
  <si>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</si>
  <si>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</si>
  <si>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</si>
  <si>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</si>
  <si>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</si>
  <si>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</si>
  <si>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</si>
  <si>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</si>
  <si>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</si>
  <si>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</si>
  <si>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</si>
  <si>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</si>
  <si>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</si>
  <si>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</si>
  <si>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</si>
  <si>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</si>
  <si>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</si>
  <si>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</si>
  <si>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</si>
  <si>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</si>
  <si>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</si>
  <si>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</si>
  <si>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</si>
  <si>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</si>
  <si>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</si>
  <si>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</si>
  <si>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</si>
  <si>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</si>
  <si>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</si>
  <si>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</si>
  <si>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</si>
  <si>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</si>
  <si>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SPICEJET</t>
  </si>
  <si>
    <t>2025</t>
  </si>
  <si>
    <t>SOURCE:-ICAO ATR FORM A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</si>
</sst>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6" transitionEvaluation="1" transitionEntry="1"/>
  <dimension ref="A1:Q494"/>
  <sheetViews>
    <sheetView showGridLines="0" tabSelected="1" view="pageBreakPreview" topLeftCell="A16" zoomScale="55" zoomScaleNormal="85" zoomScaleSheetLayoutView="55" workbookViewId="0">
      <selection activeCell="M71" sqref="M7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3607</v>
      </c>
      <c r="C4" s="21">
        <v>5596.1</v>
      </c>
      <c r="D4" s="22">
        <v>3323.9989999999998</v>
      </c>
      <c r="E4" s="23">
        <v>465732</v>
      </c>
      <c r="F4" s="21">
        <v>470566.16399999999</v>
      </c>
      <c r="G4" s="21">
        <v>540092.35</v>
      </c>
      <c r="H4" s="25">
        <v>87.13</v>
      </c>
      <c r="I4" s="26">
        <v>1762.46532</v>
      </c>
      <c r="J4" s="27">
        <v>0</v>
      </c>
      <c r="K4" s="25">
        <v>1762.46532</v>
      </c>
      <c r="L4" s="26">
        <v>35292.462299999999</v>
      </c>
      <c r="M4" s="27">
        <v>2032.7721619700001</v>
      </c>
      <c r="N4" s="27">
        <v>0</v>
      </c>
      <c r="O4" s="25">
        <v>37325.234461970002</v>
      </c>
      <c r="P4" s="27">
        <v>47157.32</v>
      </c>
      <c r="Q4" s="25">
        <v>79.150000000000006</v>
      </c>
    </row>
    <row r="5" spans="1:17" ht="23.1" customHeight="1" x14ac:dyDescent="0.25">
      <c r="A5" s="43" t="s">
        <v>20</v>
      </c>
      <c r="B5" s="64">
        <v>3407</v>
      </c>
      <c r="C5" s="64">
        <v>5226.3166666666702</v>
      </c>
      <c r="D5" s="53">
        <v>3039.18</v>
      </c>
      <c r="E5" s="75">
        <v>453930</v>
      </c>
      <c r="F5" s="64">
        <v>442261.68900000001</v>
      </c>
      <c r="G5" s="64">
        <v>484842.48200000002</v>
      </c>
      <c r="H5" s="84">
        <v>91.22</v>
      </c>
      <c r="I5" s="93">
        <v>1488.0030999999999</v>
      </c>
      <c r="J5" s="102">
        <v>0</v>
      </c>
      <c r="K5" s="84">
        <v>1488.0030999999999</v>
      </c>
      <c r="L5" s="93">
        <v>33169.626675</v>
      </c>
      <c r="M5" s="102">
        <v>1624.3950951500001</v>
      </c>
      <c r="N5" s="102">
        <v>0</v>
      </c>
      <c r="O5" s="84">
        <v>34794.021770150001</v>
      </c>
      <c r="P5" s="102">
        <v>42365.633000000002</v>
      </c>
      <c r="Q5" s="84">
        <v>82.13</v>
      </c>
    </row>
    <row r="6" spans="1:17" ht="23.1" customHeight="1" x14ac:dyDescent="0.25">
      <c r="A6" s="45" t="s">
        <v>21</v>
      </c>
      <c r="B6" s="29">
        <v>3804</v>
      </c>
      <c r="C6" s="29">
        <v>5854.05</v>
      </c>
      <c r="D6" s="28">
        <v>3493.6329999999998</v>
      </c>
      <c r="E6" s="30">
        <v>479518</v>
      </c>
      <c r="F6" s="29">
        <v>484082.68800000002</v>
      </c>
      <c r="G6" s="29">
        <v>570766.84299999999</v>
      </c>
      <c r="H6" s="31">
        <v>84.81</v>
      </c>
      <c r="I6" s="32">
        <v>2044.13681</v>
      </c>
      <c r="J6" s="33">
        <v>0</v>
      </c>
      <c r="K6" s="31">
        <v>2044.13681</v>
      </c>
      <c r="L6" s="32">
        <v>36306.2016</v>
      </c>
      <c r="M6" s="33">
        <v>2332.4089432000001</v>
      </c>
      <c r="N6" s="33">
        <v>0</v>
      </c>
      <c r="O6" s="31">
        <v>38638.610543199997</v>
      </c>
      <c r="P6" s="33">
        <v>50128.928999999996</v>
      </c>
      <c r="Q6" s="31">
        <v>77.08</v>
      </c>
    </row>
    <row r="7" spans="1:17" ht="23.1" customHeight="1" x14ac:dyDescent="0.25">
      <c r="A7" s="43" t="s">
        <v>22</v>
      </c>
      <c r="B7" s="64">
        <v>3026</v>
      </c>
      <c r="C7" s="64">
        <v>4792.8999999999996</v>
      </c>
      <c r="D7" s="53">
        <v>2801.6460000000002</v>
      </c>
      <c r="E7" s="75">
        <v>379010</v>
      </c>
      <c r="F7" s="64">
        <v>388576.02799999999</v>
      </c>
      <c r="G7" s="64">
        <v>451948.85600000003</v>
      </c>
      <c r="H7" s="84">
        <v>85.98</v>
      </c>
      <c r="I7" s="93">
        <v>1306.83</v>
      </c>
      <c r="J7" s="102">
        <v>0</v>
      </c>
      <c r="K7" s="84">
        <v>1306.83</v>
      </c>
      <c r="L7" s="93">
        <v>29143.202099999999</v>
      </c>
      <c r="M7" s="102">
        <v>1425.8962265499999</v>
      </c>
      <c r="N7" s="102">
        <v>0</v>
      </c>
      <c r="O7" s="84">
        <v>30569.09832655</v>
      </c>
      <c r="P7" s="102">
        <v>39649.338000000003</v>
      </c>
      <c r="Q7" s="84">
        <v>77.099999999999994</v>
      </c>
    </row>
    <row r="8" spans="1:17" ht="30" customHeight="1" x14ac:dyDescent="0.25">
      <c r="A8" s="45" t="s">
        <v>23</v>
      </c>
      <c r="B8" s="29">
        <v>2861</v>
      </c>
      <c r="C8" s="29">
        <v>4707.75</v>
      </c>
      <c r="D8" s="28">
        <v>2782.6219999999998</v>
      </c>
      <c r="E8" s="30">
        <v>339663</v>
      </c>
      <c r="F8" s="29">
        <v>370127.75300000003</v>
      </c>
      <c r="G8" s="29">
        <v>440434.47200000001</v>
      </c>
      <c r="H8" s="31">
        <v>84.04</v>
      </c>
      <c r="I8" s="32">
        <v>1481.35617</v>
      </c>
      <c r="J8" s="33">
        <v>0</v>
      </c>
      <c r="K8" s="31">
        <v>1481.35617</v>
      </c>
      <c r="L8" s="32">
        <v>27759.581474999999</v>
      </c>
      <c r="M8" s="33">
        <v>1715.66562307</v>
      </c>
      <c r="N8" s="33">
        <v>0</v>
      </c>
      <c r="O8" s="31">
        <v>29475.247098070002</v>
      </c>
      <c r="P8" s="33">
        <v>38749.753499999999</v>
      </c>
      <c r="Q8" s="31">
        <v>76.069999999999993</v>
      </c>
    </row>
    <row r="9" spans="1:17" ht="23.1" customHeight="1" x14ac:dyDescent="0.25">
      <c r="A9" s="43" t="s">
        <v>39</v>
      </c>
      <c r="B9" s="64">
        <v>2370</v>
      </c>
      <c r="C9" s="64">
        <v>3583.5833333333298</v>
      </c>
      <c r="D9" s="53">
        <v>2021.779</v>
      </c>
      <c r="E9" s="75">
        <v>260902</v>
      </c>
      <c r="F9" s="64">
        <v>258226.397</v>
      </c>
      <c r="G9" s="64">
        <v>302956.72100000002</v>
      </c>
      <c r="H9" s="84">
        <v>85.24</v>
      </c>
      <c r="I9" s="93">
        <v>1105.7222099999999</v>
      </c>
      <c r="J9" s="102">
        <v>0</v>
      </c>
      <c r="K9" s="84">
        <v>1105.7222099999999</v>
      </c>
      <c r="L9" s="93">
        <v>19366.979775</v>
      </c>
      <c r="M9" s="102">
        <v>1241.9370319</v>
      </c>
      <c r="N9" s="102">
        <v>0</v>
      </c>
      <c r="O9" s="84">
        <v>20608.916806900001</v>
      </c>
      <c r="P9" s="102">
        <v>26970.749</v>
      </c>
      <c r="Q9" s="84">
        <v>76.41</v>
      </c>
    </row>
    <row r="10" spans="1:17" ht="23.1" customHeight="1" x14ac:dyDescent="0.25">
      <c r="A10" s="45" t="s">
        <v>24</v>
      </c>
      <c r="B10" s="29">
        <v>2298</v>
      </c>
      <c r="C10" s="29">
        <v>3328.5</v>
      </c>
      <c r="D10" s="28">
        <v>1838.0840000000001</v>
      </c>
      <c r="E10" s="30">
        <v>246242</v>
      </c>
      <c r="F10" s="29">
        <v>224286.00399999999</v>
      </c>
      <c r="G10" s="29">
        <v>266381.07900000003</v>
      </c>
      <c r="H10" s="31">
        <v>84.2</v>
      </c>
      <c r="I10" s="32">
        <v>1079.2549799999999</v>
      </c>
      <c r="J10" s="33">
        <v>0</v>
      </c>
      <c r="K10" s="31">
        <v>1079.2549799999999</v>
      </c>
      <c r="L10" s="32">
        <v>16821.4503</v>
      </c>
      <c r="M10" s="33">
        <v>1119.1757218299999</v>
      </c>
      <c r="N10" s="33">
        <v>0</v>
      </c>
      <c r="O10" s="31">
        <v>17940.626021830001</v>
      </c>
      <c r="P10" s="33">
        <v>23511.153999999999</v>
      </c>
      <c r="Q10" s="31">
        <v>76.31</v>
      </c>
    </row>
    <row r="11" spans="1:17" ht="23.1" customHeight="1" x14ac:dyDescent="0.25">
      <c r="A11" s="43" t="s">
        <v>25</v>
      </c>
      <c r="B11" s="64">
        <v>2330</v>
      </c>
      <c r="C11" s="64">
        <v>3453.8333333333298</v>
      </c>
      <c r="D11" s="53">
        <v>1921.348</v>
      </c>
      <c r="E11" s="75">
        <v>261610</v>
      </c>
      <c r="F11" s="64">
        <v>247695.21900000001</v>
      </c>
      <c r="G11" s="64">
        <v>284601.799</v>
      </c>
      <c r="H11" s="84">
        <v>87.03</v>
      </c>
      <c r="I11" s="93">
        <v>1152.3092899999999</v>
      </c>
      <c r="J11" s="102">
        <v>0</v>
      </c>
      <c r="K11" s="84">
        <v>1152.3092899999999</v>
      </c>
      <c r="L11" s="93">
        <v>18577.141425000002</v>
      </c>
      <c r="M11" s="102">
        <v>1264.4546206099999</v>
      </c>
      <c r="N11" s="102">
        <v>0</v>
      </c>
      <c r="O11" s="84">
        <v>19841.59604561</v>
      </c>
      <c r="P11" s="102">
        <v>24879.766500000002</v>
      </c>
      <c r="Q11" s="84">
        <v>79.75</v>
      </c>
    </row>
    <row r="12" spans="1:17" ht="23.1" customHeight="1" x14ac:dyDescent="0.25">
      <c r="A12" s="45" t="s">
        <v>26</v>
      </c>
      <c r="B12" s="29">
        <v>2267</v>
      </c>
      <c r="C12" s="29">
        <v>3349.6666666666702</v>
      </c>
      <c r="D12" s="28">
        <v>1844.7739999999999</v>
      </c>
      <c r="E12" s="30">
        <v>244777</v>
      </c>
      <c r="F12" s="29">
        <v>227801.52299999999</v>
      </c>
      <c r="G12" s="29">
        <v>269154.84100000001</v>
      </c>
      <c r="H12" s="31">
        <v>84.64</v>
      </c>
      <c r="I12" s="32">
        <v>1183.9660200000001</v>
      </c>
      <c r="J12" s="33">
        <v>0</v>
      </c>
      <c r="K12" s="31">
        <v>1183.9660200000001</v>
      </c>
      <c r="L12" s="32">
        <v>17085.114225000001</v>
      </c>
      <c r="M12" s="33">
        <v>1254.8282427300001</v>
      </c>
      <c r="N12" s="33">
        <v>0</v>
      </c>
      <c r="O12" s="31">
        <v>18339.942467730001</v>
      </c>
      <c r="P12" s="33">
        <v>23659.806</v>
      </c>
      <c r="Q12" s="31">
        <v>77.52</v>
      </c>
    </row>
    <row r="13" spans="1:17" ht="23.1" customHeight="1" x14ac:dyDescent="0.25">
      <c r="A13" s="43" t="s">
        <v>27</v>
      </c>
      <c r="B13" s="64">
        <v>2991</v>
      </c>
      <c r="C13" s="64">
        <v>4624.5666666666702</v>
      </c>
      <c r="D13" s="53">
        <v>2758.2280000000001</v>
      </c>
      <c r="E13" s="75">
        <v>361639</v>
      </c>
      <c r="F13" s="64">
        <v>368782.04499999998</v>
      </c>
      <c r="G13" s="64">
        <v>448375.24800000002</v>
      </c>
      <c r="H13" s="84">
        <v>82.25</v>
      </c>
      <c r="I13" s="93">
        <v>1788.7846</v>
      </c>
      <c r="J13" s="102">
        <v>0</v>
      </c>
      <c r="K13" s="84">
        <v>1788.7846</v>
      </c>
      <c r="L13" s="93">
        <v>27658.653375000002</v>
      </c>
      <c r="M13" s="102">
        <v>2086.0506024900001</v>
      </c>
      <c r="N13" s="102">
        <v>0</v>
      </c>
      <c r="O13" s="84">
        <v>29744.70397749</v>
      </c>
      <c r="P13" s="102">
        <v>39514.1705</v>
      </c>
      <c r="Q13" s="84">
        <v>75.28</v>
      </c>
    </row>
    <row r="14" spans="1:17" ht="23.1" customHeight="1" x14ac:dyDescent="0.25">
      <c r="A14" s="45" t="s">
        <v>28</v>
      </c>
      <c r="B14" s="29">
        <v>3956</v>
      </c>
      <c r="C14" s="29">
        <v>5951.05</v>
      </c>
      <c r="D14" s="28">
        <v>3636.4969999999998</v>
      </c>
      <c r="E14" s="30">
        <v>566943</v>
      </c>
      <c r="F14" s="29">
        <v>558744.14199999999</v>
      </c>
      <c r="G14" s="29">
        <v>637117.53399999999</v>
      </c>
      <c r="H14" s="31">
        <v>87.7</v>
      </c>
      <c r="I14" s="32">
        <v>2744.1445199999998</v>
      </c>
      <c r="J14" s="33">
        <v>0</v>
      </c>
      <c r="K14" s="31">
        <v>2744.1445199999998</v>
      </c>
      <c r="L14" s="32">
        <v>41905.810649999999</v>
      </c>
      <c r="M14" s="33">
        <v>3113.5970007400001</v>
      </c>
      <c r="N14" s="33">
        <v>0</v>
      </c>
      <c r="O14" s="31">
        <v>45019.407650740002</v>
      </c>
      <c r="P14" s="33">
        <v>56950.11</v>
      </c>
      <c r="Q14" s="31">
        <v>79.05</v>
      </c>
    </row>
    <row r="15" spans="1:17" ht="23.1" customHeight="1" x14ac:dyDescent="0.25">
      <c r="A15" s="121" t="s">
        <v>29</v>
      </c>
      <c r="B15" s="2">
        <v>4092</v>
      </c>
      <c r="C15" s="2">
        <v>6265.4</v>
      </c>
      <c r="D15" s="13">
        <v>3878.0479999999998</v>
      </c>
      <c r="E15" s="24">
        <v>614339</v>
      </c>
      <c r="F15" s="2">
        <v>606842.549</v>
      </c>
      <c r="G15" s="2">
        <v>693901.45499999996</v>
      </c>
      <c r="H15" s="35">
        <v>87.45</v>
      </c>
      <c r="I15" s="44">
        <v>3490.5877599999899</v>
      </c>
      <c r="J15" s="49">
        <v>0</v>
      </c>
      <c r="K15" s="35">
        <v>3490.5877599999899</v>
      </c>
      <c r="L15" s="44">
        <v>45513.191175</v>
      </c>
      <c r="M15" s="49">
        <v>3888.5603665899998</v>
      </c>
      <c r="N15" s="49">
        <v>0</v>
      </c>
      <c r="O15" s="35">
        <v>49401.751541589998</v>
      </c>
      <c r="P15" s="102">
        <v>61393.449500000002</v>
      </c>
      <c r="Q15" s="84">
        <v>80.47</v>
      </c>
    </row>
    <row r="16" spans="1:17" ht="23.1" customHeight="1" x14ac:dyDescent="0.25">
      <c r="A16" s="34" t="s">
        <v>30</v>
      </c>
      <c r="B16" s="36">
        <f t="shared" ref="B16:G16" si="0">IFERROR(SUM(B4:B15),"")</f>
        <v>37009</v>
      </c>
      <c r="C16" s="36">
        <f t="shared" si="0"/>
        <v>56733.716666666674</v>
      </c>
      <c r="D16" s="36">
        <f t="shared" si="0"/>
        <v>33339.837999999996</v>
      </c>
      <c r="E16" s="36">
        <f t="shared" si="0"/>
        <v>4674305</v>
      </c>
      <c r="F16" s="36">
        <f t="shared" si="0"/>
        <v>4647992.2009999994</v>
      </c>
      <c r="G16" s="36">
        <f t="shared" si="0"/>
        <v>5390573.6799999997</v>
      </c>
      <c r="H16" s="37">
        <f>IFERROR(F16/G16*100,"")</f>
        <v>86.224444315544531</v>
      </c>
      <c r="I16" s="37">
        <f t="shared" ref="I16:P16" si="1">IFERROR(SUM(I4:I15),"")</f>
        <v>20627.560779999989</v>
      </c>
      <c r="J16" s="37">
        <f t="shared" si="1"/>
        <v>0</v>
      </c>
      <c r="K16" s="37">
        <f t="shared" si="1"/>
        <v>20627.560779999989</v>
      </c>
      <c r="L16" s="37">
        <f t="shared" si="1"/>
        <v>348599.41507499997</v>
      </c>
      <c r="M16" s="37">
        <f t="shared" si="1"/>
        <v>23099.741636830004</v>
      </c>
      <c r="N16" s="37">
        <f t="shared" si="1"/>
        <v>0</v>
      </c>
      <c r="O16" s="37">
        <f t="shared" si="1"/>
        <v>371699.15671183006</v>
      </c>
      <c r="P16" s="38">
        <f t="shared" si="1"/>
        <v>474930.179</v>
      </c>
      <c r="Q16" s="38">
        <f>IFERROR(O16/P16*100,"")</f>
        <v>78.263958187384432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806</v>
      </c>
      <c r="C23" s="8">
        <v>2533.7666666666701</v>
      </c>
      <c r="D23" s="9">
        <v>1820.998</v>
      </c>
      <c r="E23" s="7">
        <v>125128</v>
      </c>
      <c r="F23" s="8">
        <v>283973.50199999998</v>
      </c>
      <c r="G23" s="8">
        <v>343884.81</v>
      </c>
      <c r="H23" s="10">
        <v>82.58</v>
      </c>
      <c r="I23" s="11">
        <v>749.52977999999996</v>
      </c>
      <c r="J23" s="11">
        <v>0</v>
      </c>
      <c r="K23" s="11">
        <v>749.52977999999996</v>
      </c>
      <c r="L23" s="12">
        <v>21298.012650000001</v>
      </c>
      <c r="M23" s="11">
        <v>1691.90449283</v>
      </c>
      <c r="N23" s="11">
        <v>0</v>
      </c>
      <c r="O23" s="14">
        <v>22989.91714283</v>
      </c>
      <c r="P23" s="12">
        <v>31566.504000000001</v>
      </c>
      <c r="Q23" s="14">
        <v>72.83</v>
      </c>
    </row>
    <row r="24" spans="1:17" ht="23.1" customHeight="1" x14ac:dyDescent="0.25">
      <c r="A24" s="51" t="s">
        <v>20</v>
      </c>
      <c r="B24" s="51">
        <v>680</v>
      </c>
      <c r="C24" s="50">
        <v>2128.0833333333298</v>
      </c>
      <c r="D24" s="52">
        <v>1533.1020000000001</v>
      </c>
      <c r="E24" s="51">
        <v>108189</v>
      </c>
      <c r="F24" s="50">
        <v>242152.709</v>
      </c>
      <c r="G24" s="50">
        <v>289495.935</v>
      </c>
      <c r="H24" s="54">
        <v>83.65</v>
      </c>
      <c r="I24" s="55">
        <v>606.21205999999995</v>
      </c>
      <c r="J24" s="55">
        <v>0</v>
      </c>
      <c r="K24" s="55">
        <v>606.21205999999995</v>
      </c>
      <c r="L24" s="56">
        <v>18161.453174999999</v>
      </c>
      <c r="M24" s="55">
        <v>1389.2205501200001</v>
      </c>
      <c r="N24" s="55">
        <v>0</v>
      </c>
      <c r="O24" s="54">
        <v>19550.673725119999</v>
      </c>
      <c r="P24" s="56">
        <v>26579.716</v>
      </c>
      <c r="Q24" s="54">
        <v>73.55</v>
      </c>
    </row>
    <row r="25" spans="1:17" ht="23.1" customHeight="1" x14ac:dyDescent="0.25">
      <c r="A25" s="15" t="s">
        <v>21</v>
      </c>
      <c r="B25" s="15">
        <v>758</v>
      </c>
      <c r="C25" s="6">
        <v>2350.8000000000002</v>
      </c>
      <c r="D25" s="16">
        <v>1703.53</v>
      </c>
      <c r="E25" s="15">
        <v>110832</v>
      </c>
      <c r="F25" s="6">
        <v>248121.16099999999</v>
      </c>
      <c r="G25" s="6">
        <v>322320.61800000002</v>
      </c>
      <c r="H25" s="10">
        <v>76.98</v>
      </c>
      <c r="I25" s="17">
        <v>774.33888000000002</v>
      </c>
      <c r="J25" s="17">
        <v>0</v>
      </c>
      <c r="K25" s="17">
        <v>774.33888000000002</v>
      </c>
      <c r="L25" s="18">
        <v>18609.087074999999</v>
      </c>
      <c r="M25" s="17">
        <v>1776.1015325999999</v>
      </c>
      <c r="N25" s="17">
        <v>0</v>
      </c>
      <c r="O25" s="10">
        <v>20385.188607600001</v>
      </c>
      <c r="P25" s="18">
        <v>30054.815999999999</v>
      </c>
      <c r="Q25" s="10">
        <v>67.83</v>
      </c>
    </row>
    <row r="26" spans="1:17" ht="23.1" customHeight="1" x14ac:dyDescent="0.25">
      <c r="A26" s="51" t="s">
        <v>22</v>
      </c>
      <c r="B26" s="51">
        <v>692</v>
      </c>
      <c r="C26" s="50">
        <v>2196.35</v>
      </c>
      <c r="D26" s="52">
        <v>1584.049</v>
      </c>
      <c r="E26" s="51">
        <v>102763</v>
      </c>
      <c r="F26" s="50">
        <v>237303.84</v>
      </c>
      <c r="G26" s="50">
        <v>297309.47700000001</v>
      </c>
      <c r="H26" s="54">
        <v>79.819999999999993</v>
      </c>
      <c r="I26" s="55">
        <v>548.81410000000005</v>
      </c>
      <c r="J26" s="55">
        <v>0</v>
      </c>
      <c r="K26" s="55">
        <v>548.81410000000005</v>
      </c>
      <c r="L26" s="56">
        <v>17797.788</v>
      </c>
      <c r="M26" s="55">
        <v>1275.73534559</v>
      </c>
      <c r="N26" s="55">
        <v>0</v>
      </c>
      <c r="O26" s="54">
        <v>19073.523345590002</v>
      </c>
      <c r="P26" s="56">
        <v>26954.5</v>
      </c>
      <c r="Q26" s="54">
        <v>70.760000000000005</v>
      </c>
    </row>
    <row r="27" spans="1:17" ht="30" customHeight="1" x14ac:dyDescent="0.25">
      <c r="A27" s="15" t="s">
        <v>23</v>
      </c>
      <c r="B27" s="15">
        <v>730</v>
      </c>
      <c r="C27" s="6">
        <v>2286.1999999999998</v>
      </c>
      <c r="D27" s="16">
        <v>1607.8689999999999</v>
      </c>
      <c r="E27" s="15">
        <v>107231</v>
      </c>
      <c r="F27" s="6">
        <v>239477.32</v>
      </c>
      <c r="G27" s="6">
        <v>302081.34000000003</v>
      </c>
      <c r="H27" s="10">
        <v>79.28</v>
      </c>
      <c r="I27" s="17">
        <v>598.85564999999997</v>
      </c>
      <c r="J27" s="17">
        <v>0</v>
      </c>
      <c r="K27" s="17">
        <v>598.85564999999997</v>
      </c>
      <c r="L27" s="18">
        <v>17960.798999999999</v>
      </c>
      <c r="M27" s="17">
        <v>1396.8356744099999</v>
      </c>
      <c r="N27" s="17">
        <v>0</v>
      </c>
      <c r="O27" s="10">
        <v>19357.634674410001</v>
      </c>
      <c r="P27" s="18">
        <v>27227.511999999999</v>
      </c>
      <c r="Q27" s="10">
        <v>71.099999999999994</v>
      </c>
    </row>
    <row r="28" spans="1:17" ht="23.1" customHeight="1" x14ac:dyDescent="0.25">
      <c r="A28" s="51" t="s">
        <v>39</v>
      </c>
      <c r="B28" s="51">
        <v>711</v>
      </c>
      <c r="C28" s="50">
        <v>2160.5333333333301</v>
      </c>
      <c r="D28" s="52">
        <v>1522.155</v>
      </c>
      <c r="E28" s="51">
        <v>104249</v>
      </c>
      <c r="F28" s="50">
        <v>224853.163</v>
      </c>
      <c r="G28" s="50">
        <v>285770.72700000001</v>
      </c>
      <c r="H28" s="54">
        <v>78.680000000000007</v>
      </c>
      <c r="I28" s="55">
        <v>442.01868000000002</v>
      </c>
      <c r="J28" s="55">
        <v>0</v>
      </c>
      <c r="K28" s="55">
        <v>442.01868000000002</v>
      </c>
      <c r="L28" s="56">
        <v>16863.987225000001</v>
      </c>
      <c r="M28" s="55">
        <v>1014.34876751</v>
      </c>
      <c r="N28" s="55">
        <v>0</v>
      </c>
      <c r="O28" s="54">
        <v>17878.335992510001</v>
      </c>
      <c r="P28" s="56">
        <v>24828.93</v>
      </c>
      <c r="Q28" s="54">
        <v>72.010000000000005</v>
      </c>
    </row>
    <row r="29" spans="1:17" ht="23.1" customHeight="1" x14ac:dyDescent="0.25">
      <c r="A29" s="15" t="s">
        <v>40</v>
      </c>
      <c r="B29" s="15">
        <v>743</v>
      </c>
      <c r="C29" s="6">
        <v>2317.8333333333298</v>
      </c>
      <c r="D29" s="16">
        <v>1643.578</v>
      </c>
      <c r="E29" s="15">
        <v>107235</v>
      </c>
      <c r="F29" s="6">
        <v>240710.413</v>
      </c>
      <c r="G29" s="6">
        <v>308425.92</v>
      </c>
      <c r="H29" s="10">
        <v>78.040000000000006</v>
      </c>
      <c r="I29" s="17">
        <v>515.25720000000001</v>
      </c>
      <c r="J29" s="17">
        <v>0</v>
      </c>
      <c r="K29" s="17">
        <v>515.25720000000001</v>
      </c>
      <c r="L29" s="18">
        <v>18053.280975000001</v>
      </c>
      <c r="M29" s="17">
        <v>1204.2859964199999</v>
      </c>
      <c r="N29" s="17">
        <v>0</v>
      </c>
      <c r="O29" s="10">
        <v>19257.566971420001</v>
      </c>
      <c r="P29" s="18">
        <v>27050.023000000001</v>
      </c>
      <c r="Q29" s="10">
        <v>71.19</v>
      </c>
    </row>
    <row r="30" spans="1:17" ht="23.1" customHeight="1" x14ac:dyDescent="0.25">
      <c r="A30" s="51" t="s">
        <v>25</v>
      </c>
      <c r="B30" s="51">
        <v>759</v>
      </c>
      <c r="C30" s="50">
        <v>2394.4499999999998</v>
      </c>
      <c r="D30" s="52">
        <v>1689.722</v>
      </c>
      <c r="E30" s="51">
        <v>107955</v>
      </c>
      <c r="F30" s="50">
        <v>242858.74299999999</v>
      </c>
      <c r="G30" s="50">
        <v>313734.31400000001</v>
      </c>
      <c r="H30" s="54">
        <v>77.41</v>
      </c>
      <c r="I30" s="55">
        <v>428.91822999999999</v>
      </c>
      <c r="J30" s="55">
        <v>0</v>
      </c>
      <c r="K30" s="55">
        <v>428.91822999999999</v>
      </c>
      <c r="L30" s="56">
        <v>18214.405725000001</v>
      </c>
      <c r="M30" s="55">
        <v>996.99287499000002</v>
      </c>
      <c r="N30" s="55">
        <v>0</v>
      </c>
      <c r="O30" s="54">
        <v>19211.39859999</v>
      </c>
      <c r="P30" s="56">
        <v>27935.835500000001</v>
      </c>
      <c r="Q30" s="54">
        <v>68.77</v>
      </c>
    </row>
    <row r="31" spans="1:17" ht="23.1" customHeight="1" x14ac:dyDescent="0.25">
      <c r="A31" s="15" t="s">
        <v>26</v>
      </c>
      <c r="B31" s="15">
        <v>716</v>
      </c>
      <c r="C31" s="6">
        <v>2222.6</v>
      </c>
      <c r="D31" s="16">
        <v>1559.26</v>
      </c>
      <c r="E31" s="15">
        <v>98289</v>
      </c>
      <c r="F31" s="6">
        <v>214757.291</v>
      </c>
      <c r="G31" s="6">
        <v>284880.63199999998</v>
      </c>
      <c r="H31" s="10">
        <v>75.39</v>
      </c>
      <c r="I31" s="17">
        <v>314.44364999999999</v>
      </c>
      <c r="J31" s="17">
        <v>0</v>
      </c>
      <c r="K31" s="17">
        <v>314.44364999999999</v>
      </c>
      <c r="L31" s="18">
        <v>16106.796824999999</v>
      </c>
      <c r="M31" s="17">
        <v>712.16094254999996</v>
      </c>
      <c r="N31" s="17">
        <v>0</v>
      </c>
      <c r="O31" s="10">
        <v>16818.95776755</v>
      </c>
      <c r="P31" s="18">
        <v>25519.059499999999</v>
      </c>
      <c r="Q31" s="10">
        <v>65.91</v>
      </c>
    </row>
    <row r="32" spans="1:17" ht="23.1" customHeight="1" x14ac:dyDescent="0.25">
      <c r="A32" s="51" t="s">
        <v>27</v>
      </c>
      <c r="B32" s="51">
        <v>666</v>
      </c>
      <c r="C32" s="50">
        <v>2076.4499999999998</v>
      </c>
      <c r="D32" s="52">
        <v>1446.1780000000001</v>
      </c>
      <c r="E32" s="51">
        <v>107031</v>
      </c>
      <c r="F32" s="50">
        <v>233970.492</v>
      </c>
      <c r="G32" s="50">
        <v>281959.386</v>
      </c>
      <c r="H32" s="54">
        <v>82.98</v>
      </c>
      <c r="I32" s="55">
        <v>553.73221999999998</v>
      </c>
      <c r="J32" s="55">
        <v>0</v>
      </c>
      <c r="K32" s="55">
        <v>553.73221999999998</v>
      </c>
      <c r="L32" s="56">
        <v>17547.786899999999</v>
      </c>
      <c r="M32" s="55">
        <v>1286.2703432999999</v>
      </c>
      <c r="N32" s="55">
        <v>0</v>
      </c>
      <c r="O32" s="54">
        <v>18834.057243300002</v>
      </c>
      <c r="P32" s="56">
        <v>26432.2215</v>
      </c>
      <c r="Q32" s="54">
        <v>71.25</v>
      </c>
    </row>
    <row r="33" spans="1:17" ht="23.1" customHeight="1" x14ac:dyDescent="0.25">
      <c r="A33" s="15" t="s">
        <v>28</v>
      </c>
      <c r="B33" s="15">
        <v>815</v>
      </c>
      <c r="C33" s="6">
        <v>2619.3333333333298</v>
      </c>
      <c r="D33" s="16">
        <v>1847.6120000000001</v>
      </c>
      <c r="E33" s="15">
        <v>131998</v>
      </c>
      <c r="F33" s="6">
        <v>298199.79100000003</v>
      </c>
      <c r="G33" s="6">
        <v>352239.35200000001</v>
      </c>
      <c r="H33" s="10">
        <v>84.66</v>
      </c>
      <c r="I33" s="17">
        <v>641.08132000000001</v>
      </c>
      <c r="J33" s="17">
        <v>0</v>
      </c>
      <c r="K33" s="17">
        <v>641.08132000000001</v>
      </c>
      <c r="L33" s="18">
        <v>22364.984325000001</v>
      </c>
      <c r="M33" s="17">
        <v>1493.2082095599999</v>
      </c>
      <c r="N33" s="17">
        <v>0</v>
      </c>
      <c r="O33" s="10">
        <v>23858.192534559999</v>
      </c>
      <c r="P33" s="18">
        <v>32274.670999999998</v>
      </c>
      <c r="Q33" s="10">
        <v>73.92</v>
      </c>
    </row>
    <row r="34" spans="1:17" ht="23.1" customHeight="1" x14ac:dyDescent="0.25">
      <c r="A34" s="51" t="s">
        <v>29</v>
      </c>
      <c r="B34" s="57">
        <v>792</v>
      </c>
      <c r="C34" s="58">
        <v>2681.8166666666698</v>
      </c>
      <c r="D34" s="59">
        <v>1879.1389999999999</v>
      </c>
      <c r="E34" s="57">
        <v>134021</v>
      </c>
      <c r="F34" s="58">
        <v>315456.641</v>
      </c>
      <c r="G34" s="58">
        <v>354136.86300000001</v>
      </c>
      <c r="H34" s="54">
        <v>89.08</v>
      </c>
      <c r="I34" s="60">
        <v>594.13602000000003</v>
      </c>
      <c r="J34" s="60">
        <v>0</v>
      </c>
      <c r="K34" s="60">
        <v>594.13602000000003</v>
      </c>
      <c r="L34" s="61">
        <v>23659.248075</v>
      </c>
      <c r="M34" s="60">
        <v>1420.90786948</v>
      </c>
      <c r="N34" s="60">
        <v>0</v>
      </c>
      <c r="O34" s="62">
        <v>25080.15594448</v>
      </c>
      <c r="P34" s="61">
        <v>32448.613000000001</v>
      </c>
      <c r="Q34" s="62">
        <v>77.290000000000006</v>
      </c>
    </row>
    <row r="35" spans="1:17" ht="23.1" customHeight="1" x14ac:dyDescent="0.25">
      <c r="A35" s="126" t="s">
        <v>30</v>
      </c>
      <c r="B35" s="3">
        <f t="shared" ref="B35:G35" si="2">IFERROR(SUM(B23:B34),"")</f>
        <v>8868</v>
      </c>
      <c r="C35" s="3">
        <f t="shared" si="2"/>
        <v>27968.216666666656</v>
      </c>
      <c r="D35" s="3">
        <f t="shared" si="2"/>
        <v>19837.191999999999</v>
      </c>
      <c r="E35" s="3">
        <f t="shared" si="2"/>
        <v>1344921</v>
      </c>
      <c r="F35" s="3">
        <f t="shared" si="2"/>
        <v>3021835.0660000001</v>
      </c>
      <c r="G35" s="3">
        <f t="shared" si="2"/>
        <v>3736239.3739999998</v>
      </c>
      <c r="H35" s="4">
        <f>IFERROR(F35/G35*100,"")</f>
        <v>80.879054137391577</v>
      </c>
      <c r="I35" s="5">
        <f t="shared" ref="I35:P35" si="3">IFERROR(SUM(I23:I34),"")</f>
        <v>6767.3377900000005</v>
      </c>
      <c r="J35" s="5">
        <f t="shared" si="3"/>
        <v>0</v>
      </c>
      <c r="K35" s="5">
        <f t="shared" si="3"/>
        <v>6767.3377900000005</v>
      </c>
      <c r="L35" s="5">
        <f t="shared" si="3"/>
        <v>226637.62995</v>
      </c>
      <c r="M35" s="5">
        <f t="shared" si="3"/>
        <v>15657.97259936</v>
      </c>
      <c r="N35" s="5">
        <f t="shared" si="3"/>
        <v>0</v>
      </c>
      <c r="O35" s="5">
        <f t="shared" si="3"/>
        <v>242295.60254935999</v>
      </c>
      <c r="P35" s="5">
        <f t="shared" si="3"/>
        <v>338872.40149999998</v>
      </c>
      <c r="Q35" s="5">
        <f>IFERROR(O35/P35*100,"")</f>
        <v>71.500541642474232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19</v>
      </c>
      <c r="C42" s="104">
        <v>27.216666666666701</v>
      </c>
      <c r="D42" s="105">
        <v>16.172000000000001</v>
      </c>
      <c r="E42" s="103">
        <v>2328</v>
      </c>
      <c r="F42" s="104">
        <v>2150.4830000000002</v>
      </c>
      <c r="G42" s="104">
        <v>2904.3420000000001</v>
      </c>
      <c r="H42" s="106">
        <v>74.040000000000006</v>
      </c>
      <c r="I42" s="107">
        <v>0.35099999999999998</v>
      </c>
      <c r="J42" s="108">
        <v>0</v>
      </c>
      <c r="K42" s="106">
        <v>0.35099999999999998</v>
      </c>
      <c r="L42" s="107">
        <v>161.286225</v>
      </c>
      <c r="M42" s="108">
        <v>0</v>
      </c>
      <c r="N42" s="108">
        <v>0</v>
      </c>
      <c r="O42" s="106">
        <v>161.286225</v>
      </c>
      <c r="P42" s="107">
        <v>248.45750000000001</v>
      </c>
      <c r="Q42" s="106">
        <v>64.92</v>
      </c>
    </row>
    <row r="43" spans="1:17" ht="25.5" customHeight="1" x14ac:dyDescent="0.25">
      <c r="A43" s="47" t="s">
        <v>20</v>
      </c>
      <c r="B43" s="63">
        <v>21</v>
      </c>
      <c r="C43" s="65">
        <v>22.25</v>
      </c>
      <c r="D43" s="66">
        <v>11.194000000000001</v>
      </c>
      <c r="E43" s="63">
        <v>2381</v>
      </c>
      <c r="F43" s="65">
        <v>1336.2349999999999</v>
      </c>
      <c r="G43" s="65">
        <v>1687.5719999999999</v>
      </c>
      <c r="H43" s="67">
        <v>79.180000000000007</v>
      </c>
      <c r="I43" s="68">
        <v>0</v>
      </c>
      <c r="J43" s="69">
        <v>0</v>
      </c>
      <c r="K43" s="67">
        <v>0</v>
      </c>
      <c r="L43" s="68">
        <v>100.217625</v>
      </c>
      <c r="M43" s="69">
        <v>0</v>
      </c>
      <c r="N43" s="69">
        <v>0</v>
      </c>
      <c r="O43" s="67">
        <v>100.217625</v>
      </c>
      <c r="P43" s="68">
        <v>143.965</v>
      </c>
      <c r="Q43" s="67">
        <v>69.61</v>
      </c>
    </row>
    <row r="44" spans="1:17" ht="25.5" customHeight="1" x14ac:dyDescent="0.25">
      <c r="A44" s="46" t="s">
        <v>21</v>
      </c>
      <c r="B44" s="109">
        <v>3</v>
      </c>
      <c r="C44" s="110">
        <v>4.4166666666666696</v>
      </c>
      <c r="D44" s="111">
        <v>2.67</v>
      </c>
      <c r="E44" s="109">
        <v>176</v>
      </c>
      <c r="F44" s="110">
        <v>156.63999999999999</v>
      </c>
      <c r="G44" s="110">
        <v>325.74</v>
      </c>
      <c r="H44" s="112">
        <v>48.09</v>
      </c>
      <c r="I44" s="113">
        <v>0</v>
      </c>
      <c r="J44" s="114">
        <v>0</v>
      </c>
      <c r="K44" s="112">
        <v>0</v>
      </c>
      <c r="L44" s="113">
        <v>11.747999999999999</v>
      </c>
      <c r="M44" s="114">
        <v>0</v>
      </c>
      <c r="N44" s="114">
        <v>0</v>
      </c>
      <c r="O44" s="112">
        <v>11.747999999999999</v>
      </c>
      <c r="P44" s="113">
        <v>27.59</v>
      </c>
      <c r="Q44" s="112">
        <v>42.58</v>
      </c>
    </row>
    <row r="45" spans="1:17" ht="25.5" customHeight="1" x14ac:dyDescent="0.25">
      <c r="A45" s="47" t="s">
        <v>22</v>
      </c>
      <c r="B45" s="63">
        <v>2</v>
      </c>
      <c r="C45" s="70">
        <v>2.8666666666666698</v>
      </c>
      <c r="D45" s="66">
        <v>1.78</v>
      </c>
      <c r="E45" s="63">
        <v>331</v>
      </c>
      <c r="F45" s="65">
        <v>294.58999999999997</v>
      </c>
      <c r="G45" s="65">
        <v>336.42</v>
      </c>
      <c r="H45" s="67">
        <v>87.57</v>
      </c>
      <c r="I45" s="68">
        <v>0</v>
      </c>
      <c r="J45" s="69">
        <v>0</v>
      </c>
      <c r="K45" s="67">
        <v>0</v>
      </c>
      <c r="L45" s="68">
        <v>22.094249999999999</v>
      </c>
      <c r="M45" s="69">
        <v>0</v>
      </c>
      <c r="N45" s="69">
        <v>0</v>
      </c>
      <c r="O45" s="67">
        <v>22.094249999999999</v>
      </c>
      <c r="P45" s="68">
        <v>28.48</v>
      </c>
      <c r="Q45" s="67">
        <v>77.58</v>
      </c>
    </row>
    <row r="46" spans="1:17" ht="25.5" customHeight="1" x14ac:dyDescent="0.25">
      <c r="A46" s="46" t="s">
        <v>23</v>
      </c>
      <c r="B46" s="109">
        <v>13</v>
      </c>
      <c r="C46" s="115">
        <v>14.733333333333301</v>
      </c>
      <c r="D46" s="111">
        <v>8.9600000000000009</v>
      </c>
      <c r="E46" s="109">
        <v>2105</v>
      </c>
      <c r="F46" s="110">
        <v>1450.2080000000001</v>
      </c>
      <c r="G46" s="110">
        <v>1729.8630000000001</v>
      </c>
      <c r="H46" s="112">
        <v>83.83</v>
      </c>
      <c r="I46" s="113">
        <v>3.5999999999999997E-2</v>
      </c>
      <c r="J46" s="114">
        <v>0</v>
      </c>
      <c r="K46" s="112">
        <v>3.5999999999999997E-2</v>
      </c>
      <c r="L46" s="113">
        <v>108.76560000000001</v>
      </c>
      <c r="M46" s="114">
        <v>2.3075999999999999E-2</v>
      </c>
      <c r="N46" s="114">
        <v>0</v>
      </c>
      <c r="O46" s="112">
        <v>108.788676</v>
      </c>
      <c r="P46" s="113">
        <v>155.55199999999999</v>
      </c>
      <c r="Q46" s="112">
        <v>69.94</v>
      </c>
    </row>
    <row r="47" spans="1:17" ht="25.5" customHeight="1" x14ac:dyDescent="0.25">
      <c r="A47" s="47" t="s">
        <v>39</v>
      </c>
      <c r="B47" s="71">
        <v>3</v>
      </c>
      <c r="C47" s="72">
        <v>2.5333333333333301</v>
      </c>
      <c r="D47" s="66">
        <v>1.327</v>
      </c>
      <c r="E47" s="71">
        <v>240</v>
      </c>
      <c r="F47" s="72">
        <v>125.86</v>
      </c>
      <c r="G47" s="72">
        <v>189.22499999999999</v>
      </c>
      <c r="H47" s="67">
        <v>66.510000000000005</v>
      </c>
      <c r="I47" s="73">
        <v>0</v>
      </c>
      <c r="J47" s="74">
        <v>0</v>
      </c>
      <c r="K47" s="67">
        <v>0</v>
      </c>
      <c r="L47" s="73">
        <v>9.4395000000000007</v>
      </c>
      <c r="M47" s="74">
        <v>0</v>
      </c>
      <c r="N47" s="74">
        <v>0</v>
      </c>
      <c r="O47" s="67">
        <v>9.4395000000000007</v>
      </c>
      <c r="P47" s="73">
        <v>15.945</v>
      </c>
      <c r="Q47" s="67">
        <v>59.2</v>
      </c>
    </row>
    <row r="48" spans="1:17" ht="25.5" customHeight="1" x14ac:dyDescent="0.25">
      <c r="A48" s="46" t="s">
        <v>40</v>
      </c>
      <c r="B48" s="116">
        <v>36</v>
      </c>
      <c r="C48" s="117">
        <v>63.866666666666703</v>
      </c>
      <c r="D48" s="118">
        <v>41.55</v>
      </c>
      <c r="E48" s="116">
        <v>4878</v>
      </c>
      <c r="F48" s="117">
        <v>5853.8050000000003</v>
      </c>
      <c r="G48" s="117">
        <v>7137.8779999999997</v>
      </c>
      <c r="H48" s="112">
        <v>82.01</v>
      </c>
      <c r="I48" s="119">
        <v>24.876180000000002</v>
      </c>
      <c r="J48" s="120">
        <v>0</v>
      </c>
      <c r="K48" s="112">
        <v>24.876180000000002</v>
      </c>
      <c r="L48" s="119">
        <v>439.03537499999999</v>
      </c>
      <c r="M48" s="120">
        <v>29.614850010000001</v>
      </c>
      <c r="N48" s="120">
        <v>0</v>
      </c>
      <c r="O48" s="112">
        <v>468.65022500999999</v>
      </c>
      <c r="P48" s="119">
        <v>628.21500000000003</v>
      </c>
      <c r="Q48" s="112">
        <v>74.599999999999994</v>
      </c>
    </row>
    <row r="49" spans="1:17" ht="25.5" customHeight="1" x14ac:dyDescent="0.25">
      <c r="A49" s="47" t="s">
        <v>25</v>
      </c>
      <c r="B49" s="71">
        <v>2</v>
      </c>
      <c r="C49" s="72">
        <v>1.2666666666666699</v>
      </c>
      <c r="D49" s="76">
        <v>0.628</v>
      </c>
      <c r="E49" s="71">
        <v>360</v>
      </c>
      <c r="F49" s="72">
        <v>113.04</v>
      </c>
      <c r="G49" s="72">
        <v>118.69199999999999</v>
      </c>
      <c r="H49" s="67">
        <v>95.24</v>
      </c>
      <c r="I49" s="73">
        <v>0</v>
      </c>
      <c r="J49" s="74">
        <v>0</v>
      </c>
      <c r="K49" s="67">
        <v>0</v>
      </c>
      <c r="L49" s="73">
        <v>8.4779999999999998</v>
      </c>
      <c r="M49" s="74">
        <v>0</v>
      </c>
      <c r="N49" s="74">
        <v>0</v>
      </c>
      <c r="O49" s="67">
        <v>8.4779999999999998</v>
      </c>
      <c r="P49" s="73">
        <v>10.048</v>
      </c>
      <c r="Q49" s="67">
        <v>84.38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>
        <v>7</v>
      </c>
      <c r="C51" s="72">
        <v>9.6333333333333293</v>
      </c>
      <c r="D51" s="76">
        <v>5.1130000000000004</v>
      </c>
      <c r="E51" s="71">
        <v>410</v>
      </c>
      <c r="F51" s="72">
        <v>326.54899999999998</v>
      </c>
      <c r="G51" s="72">
        <v>860.649</v>
      </c>
      <c r="H51" s="67">
        <v>37.94</v>
      </c>
      <c r="I51" s="73">
        <v>0</v>
      </c>
      <c r="J51" s="74">
        <v>0</v>
      </c>
      <c r="K51" s="67">
        <v>0</v>
      </c>
      <c r="L51" s="73">
        <v>24.491174999999998</v>
      </c>
      <c r="M51" s="74">
        <v>0</v>
      </c>
      <c r="N51" s="74">
        <v>0</v>
      </c>
      <c r="O51" s="67">
        <v>24.491174999999998</v>
      </c>
      <c r="P51" s="73">
        <v>74.001999999999995</v>
      </c>
      <c r="Q51" s="67">
        <v>33.1</v>
      </c>
    </row>
    <row r="52" spans="1:17" ht="25.5" customHeight="1" x14ac:dyDescent="0.25">
      <c r="A52" s="46" t="s">
        <v>28</v>
      </c>
      <c r="B52" s="116">
        <v>9</v>
      </c>
      <c r="C52" s="117">
        <v>12.216666666666701</v>
      </c>
      <c r="D52" s="118">
        <v>6.6639999999999997</v>
      </c>
      <c r="E52" s="116">
        <v>1064</v>
      </c>
      <c r="F52" s="117">
        <v>778.40800000000002</v>
      </c>
      <c r="G52" s="117">
        <v>1157.5409999999999</v>
      </c>
      <c r="H52" s="112">
        <v>67.25</v>
      </c>
      <c r="I52" s="119">
        <v>0</v>
      </c>
      <c r="J52" s="120">
        <v>0</v>
      </c>
      <c r="K52" s="112">
        <v>0</v>
      </c>
      <c r="L52" s="119">
        <v>58.380600000000001</v>
      </c>
      <c r="M52" s="120">
        <v>0</v>
      </c>
      <c r="N52" s="120">
        <v>0</v>
      </c>
      <c r="O52" s="112">
        <v>58.380600000000001</v>
      </c>
      <c r="P52" s="119">
        <v>105.6485</v>
      </c>
      <c r="Q52" s="112">
        <v>55.26</v>
      </c>
    </row>
    <row r="53" spans="1:17" ht="25.5" customHeight="1" x14ac:dyDescent="0.25">
      <c r="A53" s="47" t="s">
        <v>29</v>
      </c>
      <c r="B53" s="77">
        <v>21</v>
      </c>
      <c r="C53" s="78">
        <v>27.683333333333302</v>
      </c>
      <c r="D53" s="79">
        <v>14.811</v>
      </c>
      <c r="E53" s="77">
        <v>1945</v>
      </c>
      <c r="F53" s="78">
        <v>1271.298</v>
      </c>
      <c r="G53" s="78">
        <v>2515.2089999999998</v>
      </c>
      <c r="H53" s="80">
        <v>50.54</v>
      </c>
      <c r="I53" s="81">
        <v>0</v>
      </c>
      <c r="J53" s="82">
        <v>0</v>
      </c>
      <c r="K53" s="80">
        <v>0</v>
      </c>
      <c r="L53" s="81">
        <v>95.347350000000006</v>
      </c>
      <c r="M53" s="82">
        <v>0</v>
      </c>
      <c r="N53" s="82">
        <v>0</v>
      </c>
      <c r="O53" s="80">
        <v>95.347350000000006</v>
      </c>
      <c r="P53" s="81">
        <v>225.12700000000001</v>
      </c>
      <c r="Q53" s="80">
        <v>42.35</v>
      </c>
    </row>
    <row r="54" spans="1:17" ht="25.5" customHeight="1" x14ac:dyDescent="0.25">
      <c r="A54" s="122" t="s">
        <v>30</v>
      </c>
      <c r="B54" s="123">
        <f t="shared" ref="B54:G54" si="4">IFERROR(SUM(B42:B53),"")</f>
        <v>136</v>
      </c>
      <c r="C54" s="123">
        <f t="shared" si="4"/>
        <v>188.68333333333339</v>
      </c>
      <c r="D54" s="123">
        <f t="shared" si="4"/>
        <v>110.869</v>
      </c>
      <c r="E54" s="123">
        <f t="shared" si="4"/>
        <v>16218</v>
      </c>
      <c r="F54" s="123">
        <f t="shared" si="4"/>
        <v>13857.116</v>
      </c>
      <c r="G54" s="123">
        <f t="shared" si="4"/>
        <v>18963.130999999998</v>
      </c>
      <c r="H54" s="124">
        <f>IFERROR(F54/G54*100,"")</f>
        <v>73.073987623668273</v>
      </c>
      <c r="I54" s="124">
        <f t="shared" ref="I54:P54" si="5">IFERROR(SUM(I42:I53),"")</f>
        <v>25.263180000000002</v>
      </c>
      <c r="J54" s="124">
        <f t="shared" si="5"/>
        <v>0</v>
      </c>
      <c r="K54" s="124">
        <f t="shared" si="5"/>
        <v>25.263180000000002</v>
      </c>
      <c r="L54" s="124">
        <f t="shared" si="5"/>
        <v>1039.2837</v>
      </c>
      <c r="M54" s="124">
        <f t="shared" si="5"/>
        <v>29.637926010000001</v>
      </c>
      <c r="N54" s="124">
        <f t="shared" si="5"/>
        <v>0</v>
      </c>
      <c r="O54" s="124">
        <f t="shared" si="5"/>
        <v>1068.92162601</v>
      </c>
      <c r="P54" s="125">
        <f t="shared" si="5"/>
        <v>1663.03</v>
      </c>
      <c r="Q54" s="124">
        <f>IFERROR(O54/P54*100,"")</f>
        <v>64.275546803725732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1</v>
      </c>
      <c r="C62" s="72">
        <v>2.2000000000000002</v>
      </c>
      <c r="D62" s="76">
        <v>1.6359999999999999</v>
      </c>
      <c r="E62" s="71">
        <v>170</v>
      </c>
      <c r="F62" s="72">
        <v>278.12</v>
      </c>
      <c r="G62" s="72">
        <v>304.29599999999999</v>
      </c>
      <c r="H62" s="67">
        <v>91.4</v>
      </c>
      <c r="I62" s="73">
        <v>0</v>
      </c>
      <c r="J62" s="74">
        <v>0</v>
      </c>
      <c r="K62" s="74">
        <v>0</v>
      </c>
      <c r="L62" s="73">
        <v>20.859000000000002</v>
      </c>
      <c r="M62" s="74">
        <v>0</v>
      </c>
      <c r="N62" s="74">
        <v>0</v>
      </c>
      <c r="O62" s="67">
        <v>20.859000000000002</v>
      </c>
      <c r="P62" s="74">
        <v>26.175999999999998</v>
      </c>
      <c r="Q62" s="67">
        <v>79.69</v>
      </c>
    </row>
    <row r="63" spans="1:17" ht="24.75" customHeight="1" x14ac:dyDescent="0.25">
      <c r="A63" s="48" t="s">
        <v>21</v>
      </c>
      <c r="B63" s="96">
        <v>1</v>
      </c>
      <c r="C63" s="97">
        <v>2.4500000000000002</v>
      </c>
      <c r="D63" s="98">
        <v>1.6359999999999999</v>
      </c>
      <c r="E63" s="96">
        <v>155</v>
      </c>
      <c r="F63" s="97">
        <v>253.58</v>
      </c>
      <c r="G63" s="97">
        <v>309.20400000000001</v>
      </c>
      <c r="H63" s="99">
        <v>82.01</v>
      </c>
      <c r="I63" s="100">
        <v>0</v>
      </c>
      <c r="J63" s="101">
        <v>0</v>
      </c>
      <c r="K63" s="101">
        <v>0</v>
      </c>
      <c r="L63" s="100">
        <v>19.0185</v>
      </c>
      <c r="M63" s="101">
        <v>0</v>
      </c>
      <c r="N63" s="101">
        <v>0</v>
      </c>
      <c r="O63" s="99">
        <v>19.0185</v>
      </c>
      <c r="P63" s="101">
        <v>26.175999999999998</v>
      </c>
      <c r="Q63" s="99">
        <v>72.66</v>
      </c>
    </row>
    <row r="64" spans="1:17" ht="24.75" customHeight="1" x14ac:dyDescent="0.25">
      <c r="A64" s="47" t="s">
        <v>22</v>
      </c>
      <c r="B64" s="71">
        <v>2</v>
      </c>
      <c r="C64" s="72">
        <v>5.6</v>
      </c>
      <c r="D64" s="76">
        <v>4.2</v>
      </c>
      <c r="E64" s="71">
        <v>266</v>
      </c>
      <c r="F64" s="72">
        <v>558.6</v>
      </c>
      <c r="G64" s="72">
        <v>781.2</v>
      </c>
      <c r="H64" s="67">
        <v>71.510000000000005</v>
      </c>
      <c r="I64" s="73">
        <v>0</v>
      </c>
      <c r="J64" s="74">
        <v>0</v>
      </c>
      <c r="K64" s="74">
        <v>0</v>
      </c>
      <c r="L64" s="73">
        <v>41.895000000000003</v>
      </c>
      <c r="M64" s="74">
        <v>0</v>
      </c>
      <c r="N64" s="74">
        <v>0</v>
      </c>
      <c r="O64" s="67">
        <v>41.895000000000003</v>
      </c>
      <c r="P64" s="74">
        <v>67.2</v>
      </c>
      <c r="Q64" s="67">
        <v>62.34</v>
      </c>
    </row>
    <row r="65" spans="1:17" ht="24.75" customHeight="1" x14ac:dyDescent="0.25">
      <c r="A65" s="48" t="s">
        <v>23</v>
      </c>
      <c r="B65" s="96">
        <v>47</v>
      </c>
      <c r="C65" s="97">
        <v>295.45</v>
      </c>
      <c r="D65" s="98">
        <v>220.29300000000001</v>
      </c>
      <c r="E65" s="96">
        <v>13767</v>
      </c>
      <c r="F65" s="97">
        <v>65312.546999999999</v>
      </c>
      <c r="G65" s="97">
        <v>67634.61</v>
      </c>
      <c r="H65" s="99">
        <v>96.57</v>
      </c>
      <c r="I65" s="100">
        <v>0</v>
      </c>
      <c r="J65" s="101">
        <v>0</v>
      </c>
      <c r="K65" s="101">
        <v>0</v>
      </c>
      <c r="L65" s="100">
        <v>4898.4410250000001</v>
      </c>
      <c r="M65" s="101">
        <v>0</v>
      </c>
      <c r="N65" s="101">
        <v>0</v>
      </c>
      <c r="O65" s="99">
        <v>4898.4410250000001</v>
      </c>
      <c r="P65" s="101">
        <v>8822.3140000000003</v>
      </c>
      <c r="Q65" s="99">
        <v>55.52</v>
      </c>
    </row>
    <row r="66" spans="1:17" ht="24.75" customHeight="1" x14ac:dyDescent="0.25">
      <c r="A66" s="47" t="s">
        <v>39</v>
      </c>
      <c r="B66" s="71">
        <v>18</v>
      </c>
      <c r="C66" s="72">
        <v>112.966666666667</v>
      </c>
      <c r="D66" s="76">
        <v>84.415999999999997</v>
      </c>
      <c r="E66" s="71">
        <v>5215</v>
      </c>
      <c r="F66" s="72">
        <v>24565.350999999999</v>
      </c>
      <c r="G66" s="72">
        <v>25582.419000000002</v>
      </c>
      <c r="H66" s="67">
        <v>96.02</v>
      </c>
      <c r="I66" s="73">
        <v>0</v>
      </c>
      <c r="J66" s="74">
        <v>0</v>
      </c>
      <c r="K66" s="74">
        <v>0</v>
      </c>
      <c r="L66" s="73">
        <v>1842.401325</v>
      </c>
      <c r="M66" s="74">
        <v>0</v>
      </c>
      <c r="N66" s="74">
        <v>0</v>
      </c>
      <c r="O66" s="67">
        <v>1842.401325</v>
      </c>
      <c r="P66" s="74">
        <v>3328.6109999999999</v>
      </c>
      <c r="Q66" s="67">
        <v>55.35</v>
      </c>
    </row>
    <row r="67" spans="1:17" ht="24.75" customHeight="1" x14ac:dyDescent="0.25">
      <c r="A67" s="48" t="s">
        <v>40</v>
      </c>
      <c r="B67" s="96">
        <v>33</v>
      </c>
      <c r="C67" s="97">
        <v>200.23333333333301</v>
      </c>
      <c r="D67" s="98">
        <v>145.196</v>
      </c>
      <c r="E67" s="96">
        <v>8666</v>
      </c>
      <c r="F67" s="97">
        <v>39821.892</v>
      </c>
      <c r="G67" s="97">
        <v>41856.023999999998</v>
      </c>
      <c r="H67" s="99">
        <v>95.14</v>
      </c>
      <c r="I67" s="100">
        <v>0.81699999999999995</v>
      </c>
      <c r="J67" s="101">
        <v>0</v>
      </c>
      <c r="K67" s="101">
        <v>0.81699999999999995</v>
      </c>
      <c r="L67" s="100">
        <v>2986.6419000000001</v>
      </c>
      <c r="M67" s="101">
        <v>1.787596</v>
      </c>
      <c r="N67" s="101">
        <v>0</v>
      </c>
      <c r="O67" s="99">
        <v>2988.4294960000002</v>
      </c>
      <c r="P67" s="101">
        <v>5227.2020000000002</v>
      </c>
      <c r="Q67" s="99">
        <v>57.17</v>
      </c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>
        <v>2</v>
      </c>
      <c r="C72" s="78">
        <v>5.4833333333333298</v>
      </c>
      <c r="D72" s="79">
        <v>3.7440000000000002</v>
      </c>
      <c r="E72" s="77">
        <v>305</v>
      </c>
      <c r="F72" s="78">
        <v>570.96</v>
      </c>
      <c r="G72" s="78">
        <v>702</v>
      </c>
      <c r="H72" s="80">
        <v>81.33</v>
      </c>
      <c r="I72" s="81">
        <v>0</v>
      </c>
      <c r="J72" s="82">
        <v>0</v>
      </c>
      <c r="K72" s="82">
        <v>0</v>
      </c>
      <c r="L72" s="81">
        <v>42.822000000000003</v>
      </c>
      <c r="M72" s="82">
        <v>0</v>
      </c>
      <c r="N72" s="82">
        <v>0</v>
      </c>
      <c r="O72" s="80">
        <v>42.822000000000003</v>
      </c>
      <c r="P72" s="82">
        <v>67.391999999999996</v>
      </c>
      <c r="Q72" s="80">
        <v>63.54</v>
      </c>
    </row>
    <row r="73" spans="1:17" ht="34.5" customHeight="1" x14ac:dyDescent="0.25">
      <c r="A73" s="86" t="s">
        <v>30</v>
      </c>
      <c r="B73" s="87">
        <f t="shared" ref="B73:G73" si="6">IFERROR(SUM(B61:B72),"")</f>
        <v>104</v>
      </c>
      <c r="C73" s="87">
        <f t="shared" si="6"/>
        <v>624.38333333333333</v>
      </c>
      <c r="D73" s="87">
        <f t="shared" si="6"/>
        <v>461.12100000000009</v>
      </c>
      <c r="E73" s="87">
        <f t="shared" si="6"/>
        <v>28544</v>
      </c>
      <c r="F73" s="87">
        <f t="shared" si="6"/>
        <v>131361.04999999999</v>
      </c>
      <c r="G73" s="87">
        <f t="shared" si="6"/>
        <v>137169.753</v>
      </c>
      <c r="H73" s="88">
        <f>IFERROR(F73/G73*100,"")</f>
        <v>95.765317883163348</v>
      </c>
      <c r="I73" s="88">
        <f t="shared" ref="I73:P73" si="7">IFERROR(SUM(I61:I72),"")</f>
        <v>0.81699999999999995</v>
      </c>
      <c r="J73" s="88">
        <f t="shared" si="7"/>
        <v>0</v>
      </c>
      <c r="K73" s="88">
        <f t="shared" si="7"/>
        <v>0.81699999999999995</v>
      </c>
      <c r="L73" s="88">
        <f t="shared" si="7"/>
        <v>9852.0787500000006</v>
      </c>
      <c r="M73" s="88">
        <f t="shared" si="7"/>
        <v>1.787596</v>
      </c>
      <c r="N73" s="88">
        <f t="shared" si="7"/>
        <v>0</v>
      </c>
      <c r="O73" s="88">
        <f t="shared" si="7"/>
        <v>9853.8663460000007</v>
      </c>
      <c r="P73" s="88">
        <f t="shared" si="7"/>
        <v>17565.071</v>
      </c>
      <c r="Q73" s="88">
        <f>IFERROR(O73/P73*100,"")</f>
        <v>56.099211588726291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2026-01-28T10:20:43Z</dcterms:modified>
</cp:coreProperties>
</file>