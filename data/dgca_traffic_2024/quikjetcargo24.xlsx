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4\Excel December  2024\"/>
    </mc:Choice>
  </mc:AlternateContent>
  <bookViews>
    <workbookView xWindow="0" yWindow="0" windowWidth="24000" windowHeight="91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<sst xmlns="http://schemas.openxmlformats.org/spreadsheetml/2006/main" count="153" uniqueCount="42">
  <si>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</si>
  <si>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QUIKJET CARGO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</si>
  <si>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</si>
  <si>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</si>
  <si>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</si>
  <si>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</si>
  <si>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</si>
  <si>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</si>
  <si>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</si>
  <si>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</si>
  <si>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</si>
  <si>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</si>
  <si>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</si>
  <si>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</si>
  <si>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</si>
  <si>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</si>
  <si>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</si>
  <si>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</si>
  <si>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</si>
  <si>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</si>
  <si>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</si>
  <si>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</si>
  <si>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</si>
  <si>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</si>
  <si>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</si>
  <si>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</si>
  <si>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</si>
  <si>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</si>
  <si>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</si>
  <si>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</si>
  <si>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</si>
  <si>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</si>
  <si>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</si>
  <si>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</si>
  <si>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</si>
  <si>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QUIKJET CARGO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</si>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</sst>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3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  <font>
      <sz val="11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3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  <xf numFmtId="1" fontId="22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December%202024/SOFTWAR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4"/>
      <sheetName val="Interface"/>
      <sheetName val="Data"/>
      <sheetName val="Sheet5"/>
      <sheetName val="Sheet2"/>
      <sheetName val="FRT ONLY"/>
      <sheetName val="Sheet6"/>
      <sheetName val="PivotTable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0" transitionEvaluation="1" transitionEntry="1" codeName="Sheet12"/>
  <dimension ref="A1:Q494"/>
  <sheetViews>
    <sheetView showGridLines="0" tabSelected="1" view="pageBreakPreview" topLeftCell="A40" zoomScale="70" zoomScaleNormal="85" zoomScaleSheetLayoutView="70" workbookViewId="0">
      <selection activeCell="F50" sqref="F50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2024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111</v>
      </c>
      <c r="C4" s="5">
        <v>241.06666666666666</v>
      </c>
      <c r="D4" s="6">
        <v>125.127</v>
      </c>
      <c r="E4" s="7"/>
      <c r="F4" s="5"/>
      <c r="G4" s="5"/>
      <c r="H4" s="8" t="str">
        <f>IFERROR(F4/G4*100," ")</f>
        <v xml:space="preserve"> </v>
      </c>
      <c r="I4" s="9">
        <v>1017.3560383439491</v>
      </c>
      <c r="J4" s="10"/>
      <c r="K4" s="8">
        <f>IF(AND(ISBLANK(I4),ISBLANK(J4))=TRUE,"",I4+J4)</f>
        <v>1017.3560383439491</v>
      </c>
      <c r="L4" s="9"/>
      <c r="M4" s="10">
        <v>1167.7099464197452</v>
      </c>
      <c r="N4" s="10"/>
      <c r="O4" s="8">
        <f>IF(AND(ISBLANK(L4),ISBLANK(M4),ISBLANK(N4))=TRUE,"",L4+M4+N4)</f>
        <v>1167.7099464197452</v>
      </c>
      <c r="P4" s="10">
        <v>2752.7939999999999</v>
      </c>
      <c r="Q4" s="8">
        <f>IFERROR(O4/P4*100," ")</f>
        <v>42.419082082413183</v>
      </c>
    </row>
    <row r="5" spans="1:17" ht="23.1" customHeight="1" x14ac:dyDescent="0.3">
      <c r="A5" s="11" t="s">
        <v>23</v>
      </c>
      <c r="B5" s="12">
        <v>144</v>
      </c>
      <c r="C5" s="12">
        <v>312.85000000000002</v>
      </c>
      <c r="D5" s="11">
        <v>163.71799999999999</v>
      </c>
      <c r="E5" s="13"/>
      <c r="F5" s="12"/>
      <c r="G5" s="12"/>
      <c r="H5" s="14" t="str">
        <f t="shared" ref="H5:H16" si="0">IFERROR(F5/G5*100," ")</f>
        <v xml:space="preserve"> </v>
      </c>
      <c r="I5" s="15">
        <v>1343.5971</v>
      </c>
      <c r="J5" s="16"/>
      <c r="K5" s="14">
        <f t="shared" ref="K5:K16" si="1">IF(AND(ISBLANK(I5),ISBLANK(J5))=TRUE,"",I5+J5)</f>
        <v>1343.5971</v>
      </c>
      <c r="L5" s="15"/>
      <c r="M5" s="16">
        <v>1531.56025</v>
      </c>
      <c r="N5" s="16"/>
      <c r="O5" s="14">
        <f t="shared" ref="O5:O16" si="2">IF(AND(ISBLANK(L5),ISBLANK(M5),ISBLANK(N5))=TRUE,"",L5+M5+N5)</f>
        <v>1531.56025</v>
      </c>
      <c r="P5" s="16">
        <v>3601.7960000000003</v>
      </c>
      <c r="Q5" s="14">
        <f t="shared" ref="Q5:Q16" si="3">IFERROR(O5/P5*100," ")</f>
        <v>42.522126461354276</v>
      </c>
    </row>
    <row r="6" spans="1:17" ht="23.1" customHeight="1" x14ac:dyDescent="0.3">
      <c r="A6" s="17" t="s">
        <v>24</v>
      </c>
      <c r="B6" s="18">
        <v>143</v>
      </c>
      <c r="C6" s="18">
        <v>307.25</v>
      </c>
      <c r="D6" s="17">
        <v>161.14699999999999</v>
      </c>
      <c r="E6" s="19"/>
      <c r="F6" s="18"/>
      <c r="G6" s="18"/>
      <c r="H6" s="20" t="str">
        <f t="shared" si="0"/>
        <v xml:space="preserve"> </v>
      </c>
      <c r="I6" s="21">
        <v>1405.6427000000001</v>
      </c>
      <c r="J6" s="22"/>
      <c r="K6" s="20">
        <f t="shared" si="1"/>
        <v>1405.6427000000001</v>
      </c>
      <c r="L6" s="21"/>
      <c r="M6" s="22">
        <v>1601.0667900000001</v>
      </c>
      <c r="N6" s="22"/>
      <c r="O6" s="20">
        <f t="shared" si="2"/>
        <v>1601.0667900000001</v>
      </c>
      <c r="P6" s="22">
        <v>3545.2339999999999</v>
      </c>
      <c r="Q6" s="20">
        <f t="shared" si="3"/>
        <v>45.161103329145554</v>
      </c>
    </row>
    <row r="7" spans="1:17" ht="23.1" customHeight="1" x14ac:dyDescent="0.3">
      <c r="A7" s="11" t="s">
        <v>25</v>
      </c>
      <c r="B7" s="12">
        <v>128</v>
      </c>
      <c r="C7" s="12">
        <v>268.7</v>
      </c>
      <c r="D7" s="11">
        <v>144.876</v>
      </c>
      <c r="E7" s="13"/>
      <c r="F7" s="12"/>
      <c r="G7" s="12"/>
      <c r="H7" s="14" t="str">
        <f t="shared" si="0"/>
        <v xml:space="preserve"> </v>
      </c>
      <c r="I7" s="15">
        <v>1299.88643</v>
      </c>
      <c r="J7" s="16"/>
      <c r="K7" s="14">
        <f t="shared" si="1"/>
        <v>1299.88643</v>
      </c>
      <c r="L7" s="15"/>
      <c r="M7" s="16">
        <v>1490.8691141299998</v>
      </c>
      <c r="N7" s="16"/>
      <c r="O7" s="14">
        <f t="shared" si="2"/>
        <v>1490.8691141299998</v>
      </c>
      <c r="P7" s="16">
        <v>3187.2719999999999</v>
      </c>
      <c r="Q7" s="14">
        <f t="shared" si="3"/>
        <v>46.775710203898498</v>
      </c>
    </row>
    <row r="8" spans="1:17" s="23" customFormat="1" ht="30" customHeight="1" x14ac:dyDescent="0.25">
      <c r="A8" s="17" t="s">
        <v>26</v>
      </c>
      <c r="B8" s="18">
        <v>124</v>
      </c>
      <c r="C8" s="18">
        <v>259.48333333333335</v>
      </c>
      <c r="D8" s="17">
        <v>140.62</v>
      </c>
      <c r="E8" s="19">
        <v>0</v>
      </c>
      <c r="F8" s="18">
        <v>0</v>
      </c>
      <c r="G8" s="18">
        <v>0</v>
      </c>
      <c r="H8" s="20" t="str">
        <f t="shared" si="0"/>
        <v xml:space="preserve"> </v>
      </c>
      <c r="I8" s="21">
        <v>1267.5050300000003</v>
      </c>
      <c r="J8" s="22">
        <v>0</v>
      </c>
      <c r="K8" s="20">
        <f t="shared" si="1"/>
        <v>1267.5050300000003</v>
      </c>
      <c r="L8" s="21">
        <v>0</v>
      </c>
      <c r="M8" s="22">
        <v>1471.0891414499999</v>
      </c>
      <c r="N8" s="22">
        <v>0</v>
      </c>
      <c r="O8" s="20">
        <f t="shared" si="2"/>
        <v>1471.0891414499999</v>
      </c>
      <c r="P8" s="22">
        <v>3093.6400000000003</v>
      </c>
      <c r="Q8" s="20">
        <f t="shared" si="3"/>
        <v>47.552046826715447</v>
      </c>
    </row>
    <row r="9" spans="1:17" ht="23.1" customHeight="1" x14ac:dyDescent="0.3">
      <c r="A9" s="11" t="s">
        <v>27</v>
      </c>
      <c r="B9" s="12">
        <v>94</v>
      </c>
      <c r="C9" s="12">
        <v>201.63333333333333</v>
      </c>
      <c r="D9" s="11">
        <v>107.664</v>
      </c>
      <c r="E9" s="13"/>
      <c r="F9" s="12"/>
      <c r="G9" s="12"/>
      <c r="H9" s="14" t="str">
        <f t="shared" si="0"/>
        <v xml:space="preserve"> </v>
      </c>
      <c r="I9" s="15">
        <v>854.26299999999992</v>
      </c>
      <c r="J9" s="16"/>
      <c r="K9" s="14">
        <f t="shared" si="1"/>
        <v>854.26299999999992</v>
      </c>
      <c r="L9" s="15"/>
      <c r="M9" s="16">
        <v>1022.1586528</v>
      </c>
      <c r="N9" s="16"/>
      <c r="O9" s="14">
        <f t="shared" si="2"/>
        <v>1022.1586528</v>
      </c>
      <c r="P9" s="16">
        <v>2368.6079999999997</v>
      </c>
      <c r="Q9" s="14">
        <f t="shared" si="3"/>
        <v>43.15440346397547</v>
      </c>
    </row>
    <row r="10" spans="1:17" ht="23.1" customHeight="1" x14ac:dyDescent="0.3">
      <c r="A10" s="17" t="s">
        <v>28</v>
      </c>
      <c r="B10" s="18">
        <v>134</v>
      </c>
      <c r="C10" s="18">
        <v>283.71666666666664</v>
      </c>
      <c r="D10" s="17">
        <v>153.24799999999999</v>
      </c>
      <c r="E10" s="19"/>
      <c r="F10" s="18"/>
      <c r="G10" s="18"/>
      <c r="H10" s="20" t="str">
        <f t="shared" si="0"/>
        <v xml:space="preserve"> </v>
      </c>
      <c r="I10" s="21">
        <v>1348.2169799999999</v>
      </c>
      <c r="J10" s="22"/>
      <c r="K10" s="20">
        <f t="shared" si="1"/>
        <v>1348.2169799999999</v>
      </c>
      <c r="L10" s="21"/>
      <c r="M10" s="22">
        <v>1556.82113574</v>
      </c>
      <c r="N10" s="22"/>
      <c r="O10" s="20">
        <f t="shared" si="2"/>
        <v>1556.82113574</v>
      </c>
      <c r="P10" s="22">
        <v>3371.4560000000001</v>
      </c>
      <c r="Q10" s="20">
        <f t="shared" si="3"/>
        <v>46.176522420580305</v>
      </c>
    </row>
    <row r="11" spans="1:17" ht="23.1" customHeight="1" x14ac:dyDescent="0.3">
      <c r="A11" s="11" t="s">
        <v>29</v>
      </c>
      <c r="B11" s="12">
        <v>131</v>
      </c>
      <c r="C11" s="12">
        <v>278.25</v>
      </c>
      <c r="D11" s="11">
        <v>148.565</v>
      </c>
      <c r="E11" s="13"/>
      <c r="F11" s="12"/>
      <c r="G11" s="12"/>
      <c r="H11" s="14" t="str">
        <f t="shared" si="0"/>
        <v xml:space="preserve"> </v>
      </c>
      <c r="I11" s="15">
        <v>1376.30026</v>
      </c>
      <c r="J11" s="16"/>
      <c r="K11" s="14">
        <f t="shared" si="1"/>
        <v>1376.30026</v>
      </c>
      <c r="L11" s="15">
        <v>0</v>
      </c>
      <c r="M11" s="16">
        <v>1573.94586</v>
      </c>
      <c r="N11" s="16"/>
      <c r="O11" s="14">
        <f t="shared" si="2"/>
        <v>1573.94586</v>
      </c>
      <c r="P11" s="16">
        <v>3268.43</v>
      </c>
      <c r="Q11" s="14">
        <f t="shared" si="3"/>
        <v>48.15602169849133</v>
      </c>
    </row>
    <row r="12" spans="1:17" ht="23.1" customHeight="1" x14ac:dyDescent="0.3">
      <c r="A12" s="17" t="s">
        <v>30</v>
      </c>
      <c r="B12" s="18">
        <v>129</v>
      </c>
      <c r="C12" s="18">
        <v>276.14999999999998</v>
      </c>
      <c r="D12" s="17">
        <v>148.24100000000001</v>
      </c>
      <c r="E12" s="19"/>
      <c r="F12" s="18"/>
      <c r="G12" s="18"/>
      <c r="H12" s="20" t="str">
        <f t="shared" si="0"/>
        <v xml:space="preserve"> </v>
      </c>
      <c r="I12" s="21">
        <v>1392.4097899999999</v>
      </c>
      <c r="J12" s="22"/>
      <c r="K12" s="20">
        <f t="shared" si="1"/>
        <v>1392.4097899999999</v>
      </c>
      <c r="L12" s="21"/>
      <c r="M12" s="22">
        <v>1616.5527500000001</v>
      </c>
      <c r="N12" s="22"/>
      <c r="O12" s="20">
        <f t="shared" si="2"/>
        <v>1616.5527500000001</v>
      </c>
      <c r="P12" s="22">
        <v>3261.3020000000001</v>
      </c>
      <c r="Q12" s="20">
        <f t="shared" si="3"/>
        <v>49.567710993952723</v>
      </c>
    </row>
    <row r="13" spans="1:17" ht="23.1" customHeight="1" x14ac:dyDescent="0.3">
      <c r="A13" s="11" t="s">
        <v>31</v>
      </c>
      <c r="B13" s="12">
        <v>132</v>
      </c>
      <c r="C13" s="12">
        <v>281.85000000000002</v>
      </c>
      <c r="D13" s="11">
        <v>152.13</v>
      </c>
      <c r="E13" s="13"/>
      <c r="F13" s="12"/>
      <c r="G13" s="12"/>
      <c r="H13" s="14" t="str">
        <f t="shared" si="0"/>
        <v xml:space="preserve"> </v>
      </c>
      <c r="I13" s="15">
        <v>1476.59439</v>
      </c>
      <c r="J13" s="16"/>
      <c r="K13" s="14">
        <f t="shared" si="1"/>
        <v>1476.59439</v>
      </c>
      <c r="L13" s="15"/>
      <c r="M13" s="16">
        <v>1719.80808</v>
      </c>
      <c r="N13" s="16"/>
      <c r="O13" s="14">
        <f t="shared" si="2"/>
        <v>1719.80808</v>
      </c>
      <c r="P13" s="16">
        <v>3346.86</v>
      </c>
      <c r="Q13" s="14">
        <f t="shared" si="3"/>
        <v>51.385719151682473</v>
      </c>
    </row>
    <row r="14" spans="1:17" ht="23.1" customHeight="1" x14ac:dyDescent="0.3">
      <c r="A14" s="17" t="s">
        <v>32</v>
      </c>
      <c r="B14" s="18">
        <v>131</v>
      </c>
      <c r="C14" s="18">
        <v>275.45</v>
      </c>
      <c r="D14" s="17">
        <v>148.381</v>
      </c>
      <c r="E14" s="19"/>
      <c r="F14" s="18"/>
      <c r="G14" s="18"/>
      <c r="H14" s="20" t="str">
        <f t="shared" si="0"/>
        <v xml:space="preserve"> </v>
      </c>
      <c r="I14" s="21">
        <v>1331.4657100000002</v>
      </c>
      <c r="J14" s="22"/>
      <c r="K14" s="20">
        <f t="shared" si="1"/>
        <v>1331.4657100000002</v>
      </c>
      <c r="L14" s="21"/>
      <c r="M14" s="22">
        <v>1525.6910222500001</v>
      </c>
      <c r="N14" s="22"/>
      <c r="O14" s="20">
        <f t="shared" si="2"/>
        <v>1525.6910222500001</v>
      </c>
      <c r="P14" s="22">
        <v>3264.3820000000001</v>
      </c>
      <c r="Q14" s="20">
        <f t="shared" si="3"/>
        <v>46.737514857329806</v>
      </c>
    </row>
    <row r="15" spans="1:17" ht="23.1" customHeight="1" x14ac:dyDescent="0.3">
      <c r="A15" s="24" t="s">
        <v>33</v>
      </c>
      <c r="B15" s="25">
        <v>154</v>
      </c>
      <c r="C15" s="25">
        <v>326.48333333333335</v>
      </c>
      <c r="D15" s="26">
        <v>175.096</v>
      </c>
      <c r="E15" s="27"/>
      <c r="F15" s="25"/>
      <c r="G15" s="25"/>
      <c r="H15" s="28" t="str">
        <f t="shared" si="0"/>
        <v xml:space="preserve"> </v>
      </c>
      <c r="I15" s="29">
        <v>1596.34908</v>
      </c>
      <c r="J15" s="30"/>
      <c r="K15" s="28">
        <f t="shared" si="1"/>
        <v>1596.34908</v>
      </c>
      <c r="L15" s="29"/>
      <c r="M15" s="30">
        <v>1830.72163</v>
      </c>
      <c r="N15" s="30"/>
      <c r="O15" s="28">
        <f t="shared" si="2"/>
        <v>1830.72163</v>
      </c>
      <c r="P15" s="16">
        <v>3852.1120000000001</v>
      </c>
      <c r="Q15" s="14">
        <f t="shared" si="3"/>
        <v>47.525140234759526</v>
      </c>
    </row>
    <row r="16" spans="1:17" ht="23.1" customHeight="1" x14ac:dyDescent="0.3">
      <c r="A16" s="31" t="s">
        <v>34</v>
      </c>
      <c r="B16" s="32">
        <f t="shared" ref="B16:G16" si="4">SUM(B4:B15)</f>
        <v>1555</v>
      </c>
      <c r="C16" s="32">
        <f t="shared" si="4"/>
        <v>3312.8833333333332</v>
      </c>
      <c r="D16" s="32">
        <f t="shared" si="4"/>
        <v>1768.8129999999999</v>
      </c>
      <c r="E16" s="32">
        <f t="shared" si="4"/>
        <v>0</v>
      </c>
      <c r="F16" s="32">
        <f t="shared" si="4"/>
        <v>0</v>
      </c>
      <c r="G16" s="32">
        <f t="shared" si="4"/>
        <v>0</v>
      </c>
      <c r="H16" s="33" t="str">
        <f t="shared" si="0"/>
        <v xml:space="preserve"> </v>
      </c>
      <c r="I16" s="33">
        <f>SUM(I4:I15)</f>
        <v>15709.586508343949</v>
      </c>
      <c r="J16" s="33">
        <f>SUM(J4:J15)</f>
        <v>0</v>
      </c>
      <c r="K16" s="33">
        <f t="shared" si="1"/>
        <v>15709.586508343949</v>
      </c>
      <c r="L16" s="33">
        <f>SUM(L4:L15)</f>
        <v>0</v>
      </c>
      <c r="M16" s="33">
        <f>SUM(M4:M15)</f>
        <v>18107.994372789744</v>
      </c>
      <c r="N16" s="33">
        <f>SUM(N4:N15)</f>
        <v>0</v>
      </c>
      <c r="O16" s="33">
        <f t="shared" si="2"/>
        <v>18107.994372789744</v>
      </c>
      <c r="P16" s="34">
        <f>SUM(P4:P15)</f>
        <v>38913.886000000006</v>
      </c>
      <c r="Q16" s="34">
        <f t="shared" si="3"/>
        <v>46.533503163343134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2024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2024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23</v>
      </c>
      <c r="C42" s="71">
        <v>45.65</v>
      </c>
      <c r="D42" s="72">
        <v>20.651</v>
      </c>
      <c r="E42" s="70"/>
      <c r="F42" s="71"/>
      <c r="G42" s="71"/>
      <c r="H42" s="73" t="str">
        <f t="shared" ref="H42:H54" si="10">IFERROR(F42/G42*100," ")</f>
        <v xml:space="preserve"> </v>
      </c>
      <c r="I42" s="74">
        <v>154.32900000000001</v>
      </c>
      <c r="J42" s="75"/>
      <c r="K42" s="73">
        <f>IF(AND(ISBLANK(I42),ISBLANK(J42))=TRUE,"",I42+J42)</f>
        <v>154.32900000000001</v>
      </c>
      <c r="L42" s="74"/>
      <c r="M42" s="75">
        <v>137.955277</v>
      </c>
      <c r="N42" s="75"/>
      <c r="O42" s="73">
        <f>IF(AND(ISBLANK(L42),ISBLANK(M42),ISBLANK(N42))=TRUE,"",L42+M42+N42)</f>
        <v>137.955277</v>
      </c>
      <c r="P42" s="74">
        <v>454.322</v>
      </c>
      <c r="Q42" s="73">
        <f>IFERROR(O42/P42*100," ")</f>
        <v>30.365088417466023</v>
      </c>
    </row>
    <row r="43" spans="1:17" ht="25.5" customHeight="1" x14ac:dyDescent="0.3">
      <c r="A43" s="76" t="s">
        <v>23</v>
      </c>
      <c r="B43" s="77">
        <v>3</v>
      </c>
      <c r="C43" s="78">
        <v>4.5166666666666666</v>
      </c>
      <c r="D43" s="79">
        <v>2.1890000000000001</v>
      </c>
      <c r="E43" s="77"/>
      <c r="F43" s="78"/>
      <c r="G43" s="78"/>
      <c r="H43" s="80" t="str">
        <f t="shared" si="10"/>
        <v xml:space="preserve"> </v>
      </c>
      <c r="I43" s="81">
        <v>18.782400000000003</v>
      </c>
      <c r="J43" s="82"/>
      <c r="K43" s="80">
        <f t="shared" ref="K43:K54" si="11">IF(AND(ISBLANK(I43),ISBLANK(J43))=TRUE,"",I43+J43)</f>
        <v>18.782400000000003</v>
      </c>
      <c r="L43" s="81"/>
      <c r="M43" s="82">
        <v>18.575793600000001</v>
      </c>
      <c r="N43" s="82"/>
      <c r="O43" s="80">
        <f t="shared" ref="O43:O54" si="12">IF(AND(ISBLANK(L43),ISBLANK(M43),ISBLANK(N43))=TRUE,"",L43+M43+N43)</f>
        <v>18.575793600000001</v>
      </c>
      <c r="P43" s="81">
        <v>48.158000000000001</v>
      </c>
      <c r="Q43" s="80">
        <f t="shared" ref="Q43:Q54" si="13">IFERROR(O43/P43*100," ")</f>
        <v>38.572601852236389</v>
      </c>
    </row>
    <row r="44" spans="1:17" ht="25.5" customHeight="1" x14ac:dyDescent="0.3">
      <c r="A44" s="69" t="s">
        <v>24</v>
      </c>
      <c r="B44" s="83">
        <v>7</v>
      </c>
      <c r="C44" s="84">
        <v>15.116666666666667</v>
      </c>
      <c r="D44" s="85">
        <v>7.5469999999999997</v>
      </c>
      <c r="E44" s="83"/>
      <c r="F44" s="84"/>
      <c r="G44" s="84"/>
      <c r="H44" s="86" t="str">
        <f t="shared" si="10"/>
        <v xml:space="preserve"> </v>
      </c>
      <c r="I44" s="87">
        <v>131.27799999999999</v>
      </c>
      <c r="J44" s="88"/>
      <c r="K44" s="86">
        <f t="shared" si="11"/>
        <v>131.27799999999999</v>
      </c>
      <c r="L44" s="87"/>
      <c r="M44" s="88">
        <v>142.24529999999999</v>
      </c>
      <c r="N44" s="88"/>
      <c r="O44" s="86">
        <f t="shared" si="12"/>
        <v>142.24529999999999</v>
      </c>
      <c r="P44" s="87">
        <v>166.03399999999999</v>
      </c>
      <c r="Q44" s="86">
        <f t="shared" si="13"/>
        <v>85.672392401556309</v>
      </c>
    </row>
    <row r="45" spans="1:17" ht="25.5" customHeight="1" x14ac:dyDescent="0.3">
      <c r="A45" s="76" t="s">
        <v>25</v>
      </c>
      <c r="B45" s="77">
        <v>11</v>
      </c>
      <c r="C45" s="89">
        <v>24.016666666666666</v>
      </c>
      <c r="D45" s="79">
        <v>12.467000000000001</v>
      </c>
      <c r="E45" s="77"/>
      <c r="F45" s="78"/>
      <c r="G45" s="78"/>
      <c r="H45" s="80" t="str">
        <f t="shared" si="10"/>
        <v xml:space="preserve"> </v>
      </c>
      <c r="I45" s="81">
        <v>195.51</v>
      </c>
      <c r="J45" s="82"/>
      <c r="K45" s="80">
        <f t="shared" si="11"/>
        <v>195.51</v>
      </c>
      <c r="L45" s="81"/>
      <c r="M45" s="82">
        <v>218.16951399999999</v>
      </c>
      <c r="N45" s="82"/>
      <c r="O45" s="80">
        <f t="shared" si="12"/>
        <v>218.16951399999999</v>
      </c>
      <c r="P45" s="81">
        <v>274.274</v>
      </c>
      <c r="Q45" s="80">
        <f t="shared" si="13"/>
        <v>79.544365853124972</v>
      </c>
    </row>
    <row r="46" spans="1:17" ht="25.5" customHeight="1" x14ac:dyDescent="0.3">
      <c r="A46" s="69" t="s">
        <v>26</v>
      </c>
      <c r="B46" s="83">
        <v>2</v>
      </c>
      <c r="C46" s="90">
        <v>3.5833333333333335</v>
      </c>
      <c r="D46" s="85">
        <v>1.978</v>
      </c>
      <c r="E46" s="83">
        <v>0</v>
      </c>
      <c r="F46" s="84">
        <v>0</v>
      </c>
      <c r="G46" s="84">
        <v>0</v>
      </c>
      <c r="H46" s="86" t="str">
        <f t="shared" si="10"/>
        <v xml:space="preserve"> </v>
      </c>
      <c r="I46" s="87">
        <v>39.216000000000001</v>
      </c>
      <c r="J46" s="88">
        <v>0</v>
      </c>
      <c r="K46" s="86">
        <f t="shared" si="11"/>
        <v>39.216000000000001</v>
      </c>
      <c r="L46" s="87">
        <v>0</v>
      </c>
      <c r="M46" s="88">
        <v>38.784624000000001</v>
      </c>
      <c r="N46" s="88">
        <v>0</v>
      </c>
      <c r="O46" s="86">
        <f t="shared" si="12"/>
        <v>38.784624000000001</v>
      </c>
      <c r="P46" s="87">
        <v>43.515999999999998</v>
      </c>
      <c r="Q46" s="86">
        <f t="shared" si="13"/>
        <v>89.127272727272739</v>
      </c>
    </row>
    <row r="47" spans="1:17" ht="25.5" customHeight="1" x14ac:dyDescent="0.3">
      <c r="A47" s="76" t="s">
        <v>27</v>
      </c>
      <c r="B47" s="91">
        <v>1</v>
      </c>
      <c r="C47" s="92">
        <v>2.8</v>
      </c>
      <c r="D47" s="79">
        <v>1.7030000000000001</v>
      </c>
      <c r="E47" s="91"/>
      <c r="F47" s="92"/>
      <c r="G47" s="92"/>
      <c r="H47" s="80" t="str">
        <f t="shared" si="10"/>
        <v xml:space="preserve"> </v>
      </c>
      <c r="I47" s="93">
        <v>2.452</v>
      </c>
      <c r="J47" s="94"/>
      <c r="K47" s="80">
        <f t="shared" si="11"/>
        <v>2.452</v>
      </c>
      <c r="L47" s="93"/>
      <c r="M47" s="94">
        <v>4.1757560000000007</v>
      </c>
      <c r="N47" s="94"/>
      <c r="O47" s="80">
        <f t="shared" si="12"/>
        <v>4.1757560000000007</v>
      </c>
      <c r="P47" s="93">
        <v>37.466000000000001</v>
      </c>
      <c r="Q47" s="80">
        <f t="shared" si="13"/>
        <v>11.145454545454548</v>
      </c>
    </row>
    <row r="48" spans="1:17" s="102" customFormat="1" ht="25.5" customHeight="1" x14ac:dyDescent="0.3">
      <c r="A48" s="95" t="s">
        <v>28</v>
      </c>
      <c r="B48" s="96">
        <v>6</v>
      </c>
      <c r="C48" s="97">
        <v>12.266666666666667</v>
      </c>
      <c r="D48" s="98">
        <v>5.8979999999999997</v>
      </c>
      <c r="E48" s="96"/>
      <c r="F48" s="97"/>
      <c r="G48" s="97"/>
      <c r="H48" s="99" t="str">
        <f t="shared" si="10"/>
        <v xml:space="preserve"> </v>
      </c>
      <c r="I48" s="100">
        <v>37.465000000000003</v>
      </c>
      <c r="J48" s="101"/>
      <c r="K48" s="99">
        <f t="shared" si="11"/>
        <v>37.465000000000003</v>
      </c>
      <c r="L48" s="100"/>
      <c r="M48" s="101">
        <v>40.478135000000002</v>
      </c>
      <c r="N48" s="101"/>
      <c r="O48" s="99">
        <f t="shared" si="12"/>
        <v>40.478135000000002</v>
      </c>
      <c r="P48" s="100">
        <v>129.756</v>
      </c>
      <c r="Q48" s="99">
        <f t="shared" si="13"/>
        <v>31.195578624495209</v>
      </c>
    </row>
    <row r="49" spans="1:17" ht="25.5" customHeight="1" x14ac:dyDescent="0.3">
      <c r="A49" s="76" t="s">
        <v>29</v>
      </c>
      <c r="B49" s="91">
        <v>6</v>
      </c>
      <c r="C49" s="92">
        <v>11.833</v>
      </c>
      <c r="D49" s="103">
        <v>5.0270000000000001</v>
      </c>
      <c r="E49" s="91"/>
      <c r="F49" s="92"/>
      <c r="G49" s="92"/>
      <c r="H49" s="80" t="str">
        <f t="shared" si="10"/>
        <v xml:space="preserve"> </v>
      </c>
      <c r="I49" s="93">
        <v>34.189</v>
      </c>
      <c r="J49" s="94"/>
      <c r="K49" s="80">
        <f t="shared" si="11"/>
        <v>34.189</v>
      </c>
      <c r="L49" s="93"/>
      <c r="M49" s="94">
        <v>27.69312</v>
      </c>
      <c r="N49" s="94"/>
      <c r="O49" s="80">
        <f t="shared" si="12"/>
        <v>27.69312</v>
      </c>
      <c r="P49" s="93">
        <v>110.59399999999999</v>
      </c>
      <c r="Q49" s="80">
        <f t="shared" si="13"/>
        <v>25.040345769209903</v>
      </c>
    </row>
    <row r="50" spans="1:17" ht="25.5" customHeight="1" x14ac:dyDescent="0.3">
      <c r="A50" s="69" t="s">
        <v>30</v>
      </c>
      <c r="B50" s="104">
        <v>13</v>
      </c>
      <c r="C50" s="105">
        <v>34.06666666666667</v>
      </c>
      <c r="D50" s="106">
        <v>19.108000000000001</v>
      </c>
      <c r="E50" s="104"/>
      <c r="F50" s="105"/>
      <c r="G50" s="105"/>
      <c r="H50" s="86" t="str">
        <f t="shared" si="10"/>
        <v xml:space="preserve"> </v>
      </c>
      <c r="I50" s="107">
        <v>120.36499999999999</v>
      </c>
      <c r="J50" s="108"/>
      <c r="K50" s="86">
        <f t="shared" si="11"/>
        <v>120.36499999999999</v>
      </c>
      <c r="L50" s="107"/>
      <c r="M50" s="108">
        <v>189.27241000000001</v>
      </c>
      <c r="N50" s="108"/>
      <c r="O50" s="86">
        <f t="shared" si="12"/>
        <v>189.27241000000001</v>
      </c>
      <c r="P50" s="107">
        <v>420.37599999999998</v>
      </c>
      <c r="Q50" s="86">
        <f t="shared" si="13"/>
        <v>45.024551829790475</v>
      </c>
    </row>
    <row r="51" spans="1:17" ht="25.5" customHeight="1" x14ac:dyDescent="0.3">
      <c r="A51" s="76" t="s">
        <v>31</v>
      </c>
      <c r="B51" s="91">
        <v>5</v>
      </c>
      <c r="C51" s="92">
        <v>12.75</v>
      </c>
      <c r="D51" s="103">
        <v>4.3739999999999997</v>
      </c>
      <c r="E51" s="91"/>
      <c r="F51" s="92"/>
      <c r="G51" s="92"/>
      <c r="H51" s="80" t="str">
        <f t="shared" si="10"/>
        <v xml:space="preserve"> </v>
      </c>
      <c r="I51" s="93">
        <v>54.185400000000001</v>
      </c>
      <c r="J51" s="94"/>
      <c r="K51" s="80">
        <f t="shared" si="11"/>
        <v>54.185400000000001</v>
      </c>
      <c r="L51" s="93"/>
      <c r="M51" s="94">
        <v>47.19256</v>
      </c>
      <c r="N51" s="94"/>
      <c r="O51" s="80">
        <f t="shared" si="12"/>
        <v>47.19256</v>
      </c>
      <c r="P51" s="93">
        <v>96.227999999999994</v>
      </c>
      <c r="Q51" s="80">
        <f t="shared" si="13"/>
        <v>49.042440869601364</v>
      </c>
    </row>
    <row r="52" spans="1:17" ht="25.5" customHeight="1" x14ac:dyDescent="0.3">
      <c r="A52" s="69" t="s">
        <v>32</v>
      </c>
      <c r="B52" s="104">
        <v>3</v>
      </c>
      <c r="C52" s="105">
        <v>6.8666666666666671</v>
      </c>
      <c r="D52" s="106">
        <v>2.339</v>
      </c>
      <c r="E52" s="104"/>
      <c r="F52" s="105"/>
      <c r="G52" s="105"/>
      <c r="H52" s="86" t="str">
        <f t="shared" si="10"/>
        <v xml:space="preserve"> </v>
      </c>
      <c r="I52" s="107">
        <v>17.7</v>
      </c>
      <c r="J52" s="108"/>
      <c r="K52" s="86">
        <f t="shared" si="11"/>
        <v>17.7</v>
      </c>
      <c r="L52" s="107"/>
      <c r="M52" s="108">
        <v>17.82582</v>
      </c>
      <c r="N52" s="108"/>
      <c r="O52" s="86">
        <f t="shared" si="12"/>
        <v>17.82582</v>
      </c>
      <c r="P52" s="107">
        <v>51.457999999999998</v>
      </c>
      <c r="Q52" s="86">
        <f t="shared" si="13"/>
        <v>34.641494033969451</v>
      </c>
    </row>
    <row r="53" spans="1:17" ht="25.5" customHeight="1" x14ac:dyDescent="0.3">
      <c r="A53" s="76" t="s">
        <v>33</v>
      </c>
      <c r="B53" s="109">
        <v>10</v>
      </c>
      <c r="C53" s="110">
        <v>22.233333333333334</v>
      </c>
      <c r="D53" s="172">
        <v>8.16</v>
      </c>
      <c r="E53" s="109"/>
      <c r="F53" s="110"/>
      <c r="G53" s="110"/>
      <c r="H53" s="112" t="str">
        <f t="shared" si="10"/>
        <v xml:space="preserve"> </v>
      </c>
      <c r="I53" s="113">
        <v>29.742999999999999</v>
      </c>
      <c r="J53" s="114"/>
      <c r="K53" s="112">
        <f t="shared" si="11"/>
        <v>29.742999999999999</v>
      </c>
      <c r="L53" s="113"/>
      <c r="M53" s="114">
        <v>24.270289999999999</v>
      </c>
      <c r="N53" s="114"/>
      <c r="O53" s="112">
        <f t="shared" si="12"/>
        <v>24.270289999999999</v>
      </c>
      <c r="P53" s="113">
        <v>179.52</v>
      </c>
      <c r="Q53" s="112">
        <f t="shared" si="13"/>
        <v>13.519546568627449</v>
      </c>
    </row>
    <row r="54" spans="1:17" ht="25.5" customHeight="1" x14ac:dyDescent="0.3">
      <c r="A54" s="115" t="s">
        <v>34</v>
      </c>
      <c r="B54" s="116">
        <f t="shared" ref="B54:G54" si="14">SUM(B42:B53)</f>
        <v>90</v>
      </c>
      <c r="C54" s="116">
        <f t="shared" si="14"/>
        <v>195.69966666666664</v>
      </c>
      <c r="D54" s="116">
        <f t="shared" si="14"/>
        <v>91.441000000000003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835.21480000000008</v>
      </c>
      <c r="J54" s="117">
        <f>SUM(J42:J53)</f>
        <v>0</v>
      </c>
      <c r="K54" s="117">
        <f t="shared" si="11"/>
        <v>835.21480000000008</v>
      </c>
      <c r="L54" s="117">
        <f>SUM(L42:L53)</f>
        <v>0</v>
      </c>
      <c r="M54" s="117">
        <f>SUM(M42:M53)</f>
        <v>906.63859960000002</v>
      </c>
      <c r="N54" s="117">
        <f>SUM(N42:N53)</f>
        <v>0</v>
      </c>
      <c r="O54" s="117">
        <f t="shared" si="12"/>
        <v>906.63859960000002</v>
      </c>
      <c r="P54" s="118">
        <f>SUM(P42:P53)</f>
        <v>2011.7020000000002</v>
      </c>
      <c r="Q54" s="117">
        <f t="shared" si="13"/>
        <v>45.068235732727807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2024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/>
      <c r="C61" s="123"/>
      <c r="D61" s="124"/>
      <c r="E61" s="122"/>
      <c r="F61" s="123"/>
      <c r="G61" s="123"/>
      <c r="H61" s="125" t="str">
        <f t="shared" ref="H61:H73" si="15">IFERROR(F61/G61*100," ")</f>
        <v xml:space="preserve"> </v>
      </c>
      <c r="I61" s="126"/>
      <c r="J61" s="127"/>
      <c r="K61" s="127" t="str">
        <f>IF(AND(ISBLANK(I61),ISBLANK(J61))=TRUE,"",I61+J61)</f>
        <v/>
      </c>
      <c r="L61" s="126"/>
      <c r="M61" s="127"/>
      <c r="N61" s="127"/>
      <c r="O61" s="128" t="str">
        <f>IF(AND(ISBLANK(L61),ISBLANK(M61),ISBLANK(N61))=TRUE,"",L61+M61+N61)</f>
        <v/>
      </c>
      <c r="P61" s="127"/>
      <c r="Q61" s="125" t="str">
        <f>IFERROR(O61/P61*100," ")</f>
        <v xml:space="preserve"> </v>
      </c>
    </row>
    <row r="62" spans="1:17" ht="24.75" customHeight="1" x14ac:dyDescent="0.3">
      <c r="A62" s="76" t="s">
        <v>23</v>
      </c>
      <c r="B62" s="91"/>
      <c r="C62" s="92"/>
      <c r="D62" s="103"/>
      <c r="E62" s="91"/>
      <c r="F62" s="92"/>
      <c r="G62" s="92"/>
      <c r="H62" s="129" t="str">
        <f t="shared" si="15"/>
        <v xml:space="preserve"> </v>
      </c>
      <c r="I62" s="93"/>
      <c r="J62" s="94"/>
      <c r="K62" s="94" t="str">
        <f t="shared" ref="K62:K73" si="16">IF(AND(ISBLANK(I62),ISBLANK(J62))=TRUE,"",I62+J62)</f>
        <v/>
      </c>
      <c r="L62" s="93"/>
      <c r="M62" s="94"/>
      <c r="N62" s="94"/>
      <c r="O62" s="80" t="str">
        <f t="shared" ref="O62:O73" si="17">IF(AND(ISBLANK(L62),ISBLANK(M62),ISBLANK(N62))=TRUE,"",L62+M62+N62)</f>
        <v/>
      </c>
      <c r="P62" s="94"/>
      <c r="Q62" s="129" t="str">
        <f t="shared" ref="Q62:Q73" si="18">IFERROR(O62/P62*100," ")</f>
        <v xml:space="preserve"> </v>
      </c>
    </row>
    <row r="63" spans="1:17" ht="24.75" customHeight="1" x14ac:dyDescent="0.3">
      <c r="A63" s="121" t="s">
        <v>24</v>
      </c>
      <c r="B63" s="130">
        <v>1</v>
      </c>
      <c r="C63" s="131">
        <v>2.5333333333333332</v>
      </c>
      <c r="D63" s="132">
        <v>1.538</v>
      </c>
      <c r="E63" s="130"/>
      <c r="F63" s="131"/>
      <c r="G63" s="131"/>
      <c r="H63" s="133" t="str">
        <f t="shared" si="15"/>
        <v xml:space="preserve"> </v>
      </c>
      <c r="I63" s="134">
        <v>18.62</v>
      </c>
      <c r="J63" s="135"/>
      <c r="K63" s="135">
        <f t="shared" si="16"/>
        <v>18.62</v>
      </c>
      <c r="L63" s="134"/>
      <c r="M63" s="135">
        <v>28.638639999999999</v>
      </c>
      <c r="N63" s="135"/>
      <c r="O63" s="136">
        <f t="shared" si="17"/>
        <v>28.638639999999999</v>
      </c>
      <c r="P63" s="135">
        <v>33.835999999999999</v>
      </c>
      <c r="Q63" s="133">
        <f t="shared" si="18"/>
        <v>84.639555503014535</v>
      </c>
    </row>
    <row r="64" spans="1:17" ht="24.75" customHeight="1" x14ac:dyDescent="0.3">
      <c r="A64" s="76" t="s">
        <v>25</v>
      </c>
      <c r="B64" s="91">
        <v>1</v>
      </c>
      <c r="C64" s="92">
        <v>2.5833333333333335</v>
      </c>
      <c r="D64" s="103">
        <v>1.538</v>
      </c>
      <c r="E64" s="91"/>
      <c r="F64" s="92"/>
      <c r="G64" s="92"/>
      <c r="H64" s="129" t="str">
        <f t="shared" si="15"/>
        <v xml:space="preserve"> </v>
      </c>
      <c r="I64" s="93">
        <v>17.178999999999998</v>
      </c>
      <c r="J64" s="94"/>
      <c r="K64" s="94">
        <f t="shared" si="16"/>
        <v>17.178999999999998</v>
      </c>
      <c r="L64" s="93"/>
      <c r="M64" s="94">
        <v>26.421301999999997</v>
      </c>
      <c r="N64" s="94"/>
      <c r="O64" s="80">
        <f t="shared" si="17"/>
        <v>26.421301999999997</v>
      </c>
      <c r="P64" s="94">
        <v>33.835999999999999</v>
      </c>
      <c r="Q64" s="129">
        <f t="shared" si="18"/>
        <v>78.086363636363629</v>
      </c>
    </row>
    <row r="65" spans="1:17" ht="24.75" customHeight="1" x14ac:dyDescent="0.3">
      <c r="A65" s="121" t="s">
        <v>26</v>
      </c>
      <c r="B65" s="130"/>
      <c r="C65" s="131"/>
      <c r="D65" s="132"/>
      <c r="E65" s="130"/>
      <c r="F65" s="131"/>
      <c r="G65" s="131"/>
      <c r="H65" s="133" t="str">
        <f t="shared" si="15"/>
        <v xml:space="preserve"> </v>
      </c>
      <c r="I65" s="134"/>
      <c r="J65" s="135"/>
      <c r="K65" s="135" t="str">
        <f t="shared" si="16"/>
        <v/>
      </c>
      <c r="L65" s="134"/>
      <c r="M65" s="135"/>
      <c r="N65" s="135"/>
      <c r="O65" s="136" t="str">
        <f t="shared" si="17"/>
        <v/>
      </c>
      <c r="P65" s="135"/>
      <c r="Q65" s="133" t="str">
        <f t="shared" si="18"/>
        <v xml:space="preserve"> </v>
      </c>
    </row>
    <row r="66" spans="1:17" ht="24.75" customHeight="1" x14ac:dyDescent="0.3">
      <c r="A66" s="76" t="s">
        <v>27</v>
      </c>
      <c r="B66" s="91"/>
      <c r="C66" s="92"/>
      <c r="D66" s="103"/>
      <c r="E66" s="91"/>
      <c r="F66" s="92"/>
      <c r="G66" s="92"/>
      <c r="H66" s="129" t="str">
        <f t="shared" si="15"/>
        <v xml:space="preserve"> </v>
      </c>
      <c r="I66" s="93"/>
      <c r="J66" s="94"/>
      <c r="K66" s="94" t="str">
        <f t="shared" si="16"/>
        <v/>
      </c>
      <c r="L66" s="93"/>
      <c r="M66" s="94"/>
      <c r="N66" s="94"/>
      <c r="O66" s="80" t="str">
        <f t="shared" si="17"/>
        <v/>
      </c>
      <c r="P66" s="94"/>
      <c r="Q66" s="129" t="str">
        <f t="shared" si="18"/>
        <v xml:space="preserve"> </v>
      </c>
    </row>
    <row r="67" spans="1:17" ht="24.75" customHeight="1" x14ac:dyDescent="0.3">
      <c r="A67" s="121" t="s">
        <v>28</v>
      </c>
      <c r="B67" s="130">
        <v>1</v>
      </c>
      <c r="C67" s="131">
        <v>2.4166666666666665</v>
      </c>
      <c r="D67" s="132">
        <v>1.425</v>
      </c>
      <c r="E67" s="130"/>
      <c r="F67" s="131"/>
      <c r="G67" s="131"/>
      <c r="H67" s="133" t="str">
        <f t="shared" si="15"/>
        <v xml:space="preserve"> </v>
      </c>
      <c r="I67" s="134">
        <v>14.132999999999999</v>
      </c>
      <c r="J67" s="135"/>
      <c r="K67" s="135">
        <f t="shared" si="16"/>
        <v>14.132999999999999</v>
      </c>
      <c r="L67" s="134"/>
      <c r="M67" s="135">
        <v>20.139524999999999</v>
      </c>
      <c r="N67" s="135"/>
      <c r="O67" s="136">
        <f t="shared" si="17"/>
        <v>20.139524999999999</v>
      </c>
      <c r="P67" s="135">
        <v>31.35</v>
      </c>
      <c r="Q67" s="133">
        <f t="shared" si="18"/>
        <v>64.240909090909085</v>
      </c>
    </row>
    <row r="68" spans="1:17" ht="24.75" customHeight="1" x14ac:dyDescent="0.3">
      <c r="A68" s="76" t="s">
        <v>29</v>
      </c>
      <c r="B68" s="91">
        <v>1</v>
      </c>
      <c r="C68" s="92">
        <v>2.66</v>
      </c>
      <c r="D68" s="103">
        <v>0.77</v>
      </c>
      <c r="E68" s="91"/>
      <c r="F68" s="92"/>
      <c r="G68" s="92"/>
      <c r="H68" s="129" t="str">
        <f t="shared" si="15"/>
        <v xml:space="preserve"> </v>
      </c>
      <c r="I68" s="93">
        <v>19.396000000000001</v>
      </c>
      <c r="J68" s="94"/>
      <c r="K68" s="94">
        <f t="shared" si="16"/>
        <v>19.396000000000001</v>
      </c>
      <c r="L68" s="93"/>
      <c r="M68" s="94">
        <v>14.93492</v>
      </c>
      <c r="N68" s="94"/>
      <c r="O68" s="80">
        <f t="shared" si="17"/>
        <v>14.93492</v>
      </c>
      <c r="P68" s="94">
        <v>16.940000000000001</v>
      </c>
      <c r="Q68" s="129">
        <f t="shared" si="18"/>
        <v>88.163636363636357</v>
      </c>
    </row>
    <row r="69" spans="1:17" ht="24.75" customHeight="1" x14ac:dyDescent="0.3">
      <c r="A69" s="121" t="s">
        <v>30</v>
      </c>
      <c r="B69" s="130">
        <v>20</v>
      </c>
      <c r="C69" s="131">
        <v>51.25</v>
      </c>
      <c r="D69" s="132">
        <v>28.54</v>
      </c>
      <c r="E69" s="130"/>
      <c r="F69" s="131"/>
      <c r="G69" s="131"/>
      <c r="H69" s="133" t="str">
        <f t="shared" si="15"/>
        <v xml:space="preserve"> </v>
      </c>
      <c r="I69" s="134">
        <v>196.60900000000001</v>
      </c>
      <c r="J69" s="135"/>
      <c r="K69" s="135">
        <f t="shared" si="16"/>
        <v>196.60900000000001</v>
      </c>
      <c r="L69" s="134"/>
      <c r="M69" s="135">
        <v>280.56103999999999</v>
      </c>
      <c r="N69" s="135"/>
      <c r="O69" s="136">
        <f t="shared" si="17"/>
        <v>280.56103999999999</v>
      </c>
      <c r="P69" s="135">
        <v>627.88</v>
      </c>
      <c r="Q69" s="133">
        <f t="shared" si="18"/>
        <v>44.68386315856533</v>
      </c>
    </row>
    <row r="70" spans="1:17" ht="24.75" customHeight="1" x14ac:dyDescent="0.3">
      <c r="A70" s="76" t="s">
        <v>31</v>
      </c>
      <c r="B70" s="91"/>
      <c r="C70" s="92"/>
      <c r="D70" s="103"/>
      <c r="E70" s="91"/>
      <c r="F70" s="92"/>
      <c r="G70" s="92"/>
      <c r="H70" s="129" t="str">
        <f t="shared" si="15"/>
        <v xml:space="preserve"> </v>
      </c>
      <c r="I70" s="93"/>
      <c r="J70" s="94"/>
      <c r="K70" s="94" t="str">
        <f t="shared" si="16"/>
        <v/>
      </c>
      <c r="L70" s="93"/>
      <c r="M70" s="94"/>
      <c r="N70" s="94"/>
      <c r="O70" s="80" t="str">
        <f t="shared" si="17"/>
        <v/>
      </c>
      <c r="P70" s="94"/>
      <c r="Q70" s="129" t="str">
        <f t="shared" si="18"/>
        <v xml:space="preserve"> </v>
      </c>
    </row>
    <row r="71" spans="1:17" ht="24.75" customHeight="1" x14ac:dyDescent="0.3">
      <c r="A71" s="121" t="s">
        <v>32</v>
      </c>
      <c r="B71" s="130"/>
      <c r="C71" s="131"/>
      <c r="D71" s="132"/>
      <c r="E71" s="130"/>
      <c r="F71" s="131"/>
      <c r="G71" s="131"/>
      <c r="H71" s="133" t="str">
        <f t="shared" si="15"/>
        <v xml:space="preserve"> </v>
      </c>
      <c r="I71" s="134"/>
      <c r="J71" s="135"/>
      <c r="K71" s="135" t="str">
        <f t="shared" si="16"/>
        <v/>
      </c>
      <c r="L71" s="134"/>
      <c r="M71" s="135"/>
      <c r="N71" s="135"/>
      <c r="O71" s="136" t="str">
        <f t="shared" si="17"/>
        <v/>
      </c>
      <c r="P71" s="135"/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>
        <v>20</v>
      </c>
      <c r="C72" s="110">
        <v>82.86666666666666</v>
      </c>
      <c r="D72" s="111">
        <v>30.07</v>
      </c>
      <c r="E72" s="109"/>
      <c r="F72" s="110"/>
      <c r="G72" s="110"/>
      <c r="H72" s="112" t="str">
        <f t="shared" si="15"/>
        <v xml:space="preserve"> </v>
      </c>
      <c r="I72" s="113">
        <v>198.36799999999999</v>
      </c>
      <c r="J72" s="114"/>
      <c r="K72" s="114">
        <f t="shared" si="16"/>
        <v>198.36799999999999</v>
      </c>
      <c r="L72" s="113"/>
      <c r="M72" s="114">
        <v>348.10874000000001</v>
      </c>
      <c r="N72" s="114"/>
      <c r="O72" s="112">
        <f t="shared" si="17"/>
        <v>348.10874000000001</v>
      </c>
      <c r="P72" s="114">
        <v>661.54</v>
      </c>
      <c r="Q72" s="112">
        <f t="shared" si="18"/>
        <v>52.620966230311097</v>
      </c>
    </row>
    <row r="73" spans="1:17" ht="24.75" customHeight="1" x14ac:dyDescent="0.3">
      <c r="A73" s="137" t="s">
        <v>34</v>
      </c>
      <c r="B73" s="138">
        <f t="shared" ref="B73:G73" si="19">SUM(B61:B72)</f>
        <v>44</v>
      </c>
      <c r="C73" s="138">
        <f t="shared" si="19"/>
        <v>144.31</v>
      </c>
      <c r="D73" s="138">
        <f t="shared" si="19"/>
        <v>63.881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464.30500000000001</v>
      </c>
      <c r="J73" s="140">
        <f>SUM(J61:J72)</f>
        <v>0</v>
      </c>
      <c r="K73" s="140">
        <f t="shared" si="16"/>
        <v>464.30500000000001</v>
      </c>
      <c r="L73" s="140">
        <f>SUM(L61:L72)</f>
        <v>0</v>
      </c>
      <c r="M73" s="140">
        <f>SUM(M61:M72)</f>
        <v>718.80416700000001</v>
      </c>
      <c r="N73" s="140">
        <f>SUM(N61:N72)</f>
        <v>0</v>
      </c>
      <c r="O73" s="140">
        <f t="shared" si="17"/>
        <v>718.80416700000001</v>
      </c>
      <c r="P73" s="140">
        <f>SUM(P61:P72)</f>
        <v>1405.3820000000001</v>
      </c>
      <c r="Q73" s="139">
        <f t="shared" si="18"/>
        <v>51.146532899951758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2025-01-21T09:59:02Z</dcterms:created>
  <dcterms:modified xsi:type="dcterms:W3CDTF">2025-01-24T07:23:06Z</dcterms:modified>
</cp:coreProperties>
</file>