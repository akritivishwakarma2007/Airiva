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4\Excel December  2024\"/>
    </mc:Choice>
  </mc:AlternateContent>
  <bookViews>
    <workbookView xWindow="0" yWindow="0" windowWidth="9630" windowHeight="5070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Q72" i="2"/>
  <c r="O72" i="2"/>
  <c r="K72" i="2"/>
  <c r="H72" i="2"/>
  <c r="O71" i="2"/>
  <c r="Q71" i="2" s="1"/>
  <c r="K71" i="2"/>
  <c r="H71" i="2"/>
  <c r="Q70" i="2"/>
  <c r="O70" i="2"/>
  <c r="K70" i="2"/>
  <c r="H70" i="2"/>
  <c r="O69" i="2"/>
  <c r="Q69" i="2" s="1"/>
  <c r="K69" i="2"/>
  <c r="H69" i="2"/>
  <c r="Q68" i="2"/>
  <c r="O68" i="2"/>
  <c r="K68" i="2"/>
  <c r="H68" i="2"/>
  <c r="O67" i="2"/>
  <c r="Q67" i="2" s="1"/>
  <c r="K67" i="2"/>
  <c r="H67" i="2"/>
  <c r="Q66" i="2"/>
  <c r="O66" i="2"/>
  <c r="K66" i="2"/>
  <c r="H66" i="2"/>
  <c r="O65" i="2"/>
  <c r="Q65" i="2" s="1"/>
  <c r="K65" i="2"/>
  <c r="H65" i="2"/>
  <c r="Q64" i="2"/>
  <c r="O64" i="2"/>
  <c r="K64" i="2"/>
  <c r="H64" i="2"/>
  <c r="O63" i="2"/>
  <c r="Q63" i="2" s="1"/>
  <c r="K63" i="2"/>
  <c r="H63" i="2"/>
  <c r="Q62" i="2"/>
  <c r="O62" i="2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I54" i="2"/>
  <c r="K54" i="2" s="1"/>
  <c r="G54" i="2"/>
  <c r="F54" i="2"/>
  <c r="H54" i="2" s="1"/>
  <c r="E54" i="2"/>
  <c r="D54" i="2"/>
  <c r="C54" i="2"/>
  <c r="B54" i="2"/>
  <c r="Q53" i="2"/>
  <c r="O53" i="2"/>
  <c r="K53" i="2"/>
  <c r="H53" i="2"/>
  <c r="O52" i="2"/>
  <c r="Q52" i="2" s="1"/>
  <c r="K52" i="2"/>
  <c r="H52" i="2"/>
  <c r="Q51" i="2"/>
  <c r="O51" i="2"/>
  <c r="K51" i="2"/>
  <c r="H51" i="2"/>
  <c r="O50" i="2"/>
  <c r="Q50" i="2" s="1"/>
  <c r="K50" i="2"/>
  <c r="H50" i="2"/>
  <c r="Q49" i="2"/>
  <c r="O49" i="2"/>
  <c r="K49" i="2"/>
  <c r="H49" i="2"/>
  <c r="O48" i="2"/>
  <c r="Q48" i="2" s="1"/>
  <c r="K48" i="2"/>
  <c r="H48" i="2"/>
  <c r="Q47" i="2"/>
  <c r="O47" i="2"/>
  <c r="K47" i="2"/>
  <c r="H47" i="2"/>
  <c r="O46" i="2"/>
  <c r="Q46" i="2" s="1"/>
  <c r="K46" i="2"/>
  <c r="H46" i="2"/>
  <c r="Q45" i="2"/>
  <c r="O45" i="2"/>
  <c r="K45" i="2"/>
  <c r="H45" i="2"/>
  <c r="O44" i="2"/>
  <c r="Q44" i="2" s="1"/>
  <c r="K44" i="2"/>
  <c r="H44" i="2"/>
  <c r="Q43" i="2"/>
  <c r="O43" i="2"/>
  <c r="K43" i="2"/>
  <c r="H43" i="2"/>
  <c r="O42" i="2"/>
  <c r="Q42" i="2" s="1"/>
  <c r="K42" i="2"/>
  <c r="H42" i="2"/>
  <c r="P35" i="2"/>
  <c r="N35" i="2"/>
  <c r="O35" i="2" s="1"/>
  <c r="Q35" i="2" s="1"/>
  <c r="M35" i="2"/>
  <c r="L35" i="2"/>
  <c r="J35" i="2"/>
  <c r="K35" i="2" s="1"/>
  <c r="I35" i="2"/>
  <c r="G35" i="2"/>
  <c r="F35" i="2"/>
  <c r="H35" i="2" s="1"/>
  <c r="E35" i="2"/>
  <c r="D35" i="2"/>
  <c r="C35" i="2"/>
  <c r="B35" i="2"/>
  <c r="Q34" i="2"/>
  <c r="O34" i="2"/>
  <c r="K34" i="2"/>
  <c r="H34" i="2"/>
  <c r="O33" i="2"/>
  <c r="Q33" i="2" s="1"/>
  <c r="K33" i="2"/>
  <c r="H33" i="2"/>
  <c r="Q32" i="2"/>
  <c r="O32" i="2"/>
  <c r="K32" i="2"/>
  <c r="H32" i="2"/>
  <c r="O31" i="2"/>
  <c r="Q31" i="2" s="1"/>
  <c r="K31" i="2"/>
  <c r="H31" i="2"/>
  <c r="Q30" i="2"/>
  <c r="O30" i="2"/>
  <c r="K30" i="2"/>
  <c r="H30" i="2"/>
  <c r="O29" i="2"/>
  <c r="Q29" i="2" s="1"/>
  <c r="K29" i="2"/>
  <c r="H29" i="2"/>
  <c r="Q28" i="2"/>
  <c r="O28" i="2"/>
  <c r="K28" i="2"/>
  <c r="H28" i="2"/>
  <c r="O27" i="2"/>
  <c r="Q27" i="2" s="1"/>
  <c r="K27" i="2"/>
  <c r="H27" i="2"/>
  <c r="Q26" i="2"/>
  <c r="O26" i="2"/>
  <c r="K26" i="2"/>
  <c r="H26" i="2"/>
  <c r="O25" i="2"/>
  <c r="Q25" i="2" s="1"/>
  <c r="K25" i="2"/>
  <c r="H25" i="2"/>
  <c r="Q24" i="2"/>
  <c r="O24" i="2"/>
  <c r="K24" i="2"/>
  <c r="H24" i="2"/>
  <c r="O23" i="2"/>
  <c r="Q23" i="2" s="1"/>
  <c r="K23" i="2"/>
  <c r="H23" i="2"/>
  <c r="P16" i="2"/>
  <c r="N16" i="2"/>
  <c r="O16" i="2" s="1"/>
  <c r="Q16" i="2" s="1"/>
  <c r="M16" i="2"/>
  <c r="L16" i="2"/>
  <c r="J16" i="2"/>
  <c r="I16" i="2"/>
  <c r="K16" i="2" s="1"/>
  <c r="G16" i="2"/>
  <c r="F16" i="2"/>
  <c r="H16" i="2" s="1"/>
  <c r="E16" i="2"/>
  <c r="D16" i="2"/>
  <c r="C16" i="2"/>
  <c r="B16" i="2"/>
  <c r="Q15" i="2"/>
  <c r="O15" i="2"/>
  <c r="K15" i="2"/>
  <c r="H15" i="2"/>
  <c r="O14" i="2"/>
  <c r="Q14" i="2" s="1"/>
  <c r="K14" i="2"/>
  <c r="H14" i="2"/>
  <c r="Q13" i="2"/>
  <c r="O13" i="2"/>
  <c r="K13" i="2"/>
  <c r="H13" i="2"/>
  <c r="O12" i="2"/>
  <c r="Q12" i="2" s="1"/>
  <c r="K12" i="2"/>
  <c r="H12" i="2"/>
  <c r="Q11" i="2"/>
  <c r="O11" i="2"/>
  <c r="K11" i="2"/>
  <c r="H11" i="2"/>
  <c r="O10" i="2"/>
  <c r="Q10" i="2" s="1"/>
  <c r="K10" i="2"/>
  <c r="H10" i="2"/>
  <c r="Q9" i="2"/>
  <c r="O9" i="2"/>
  <c r="K9" i="2"/>
  <c r="H9" i="2"/>
  <c r="O8" i="2"/>
  <c r="Q8" i="2" s="1"/>
  <c r="K8" i="2"/>
  <c r="H8" i="2"/>
  <c r="Q7" i="2"/>
  <c r="O7" i="2"/>
  <c r="K7" i="2"/>
  <c r="H7" i="2"/>
  <c r="O6" i="2"/>
  <c r="Q6" i="2" s="1"/>
  <c r="K6" i="2"/>
  <c r="H6" i="2"/>
  <c r="Q5" i="2"/>
  <c r="O5" i="2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<sst xmlns="http://schemas.openxmlformats.org/spreadsheetml/2006/main" count="153" uniqueCount="42">
  <si>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</si>
  <si>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FLYBIG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</si>
  <si>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</si>
  <si>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</si>
  <si>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</si>
  <si>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</si>
  <si>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</si>
  <si>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</si>
  <si>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</si>
  <si>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</si>
  <si>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</si>
  <si>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</si>
  <si>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</si>
  <si>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</si>
  <si>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</si>
  <si>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</si>
  <si>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</si>
  <si>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</si>
  <si>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</si>
  <si>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</si>
  <si>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</si>
  <si>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</si>
  <si>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</si>
  <si>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</si>
  <si>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</si>
  <si>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</si>
  <si>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</si>
  <si>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</si>
  <si>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</si>
  <si>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</si>
  <si>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</si>
  <si>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</si>
  <si>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</si>
  <si>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</si>
  <si>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</si>
  <si>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FLYBIG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</si>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</sst>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December%202024/SOFTWA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Interface"/>
      <sheetName val="Data"/>
      <sheetName val="Sheet5"/>
      <sheetName val="Sheet2"/>
      <sheetName val="FRT ONLY"/>
      <sheetName val="Sheet6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94"/>
  <sheetViews>
    <sheetView showGridLines="0" tabSelected="1" view="pageBreakPreview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2024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31</v>
      </c>
      <c r="C4" s="12">
        <v>44.25</v>
      </c>
      <c r="D4" s="13">
        <v>8.73</v>
      </c>
      <c r="E4" s="14">
        <v>84</v>
      </c>
      <c r="F4" s="12">
        <v>25.47</v>
      </c>
      <c r="G4" s="12">
        <v>165.93</v>
      </c>
      <c r="H4" s="15">
        <f>IFERROR(F4/G4*100," ")</f>
        <v>15.349846320737658</v>
      </c>
      <c r="I4" s="16"/>
      <c r="J4" s="17"/>
      <c r="K4" s="15" t="str">
        <f>IF(AND(ISBLANK(I4),ISBLANK(J4))=TRUE,"",I4+J4)</f>
        <v/>
      </c>
      <c r="L4" s="16">
        <v>1.91</v>
      </c>
      <c r="M4" s="17"/>
      <c r="N4" s="17"/>
      <c r="O4" s="15">
        <f>IF(AND(ISBLANK(L4),ISBLANK(M4),ISBLANK(N4))=TRUE,"",L4+M4+N4)</f>
        <v>1.91</v>
      </c>
      <c r="P4" s="17">
        <v>52.4</v>
      </c>
      <c r="Q4" s="15">
        <f>IFERROR(O4/P4*100," ")</f>
        <v>3.6450381679389312</v>
      </c>
    </row>
    <row r="5" spans="1:17" ht="23.1" customHeight="1" x14ac:dyDescent="0.3">
      <c r="A5" s="18" t="s">
        <v>23</v>
      </c>
      <c r="B5" s="19">
        <v>83</v>
      </c>
      <c r="C5" s="19">
        <v>107.58</v>
      </c>
      <c r="D5" s="18">
        <v>16.52</v>
      </c>
      <c r="E5" s="20">
        <v>362</v>
      </c>
      <c r="F5" s="19">
        <v>116</v>
      </c>
      <c r="G5" s="19">
        <v>469</v>
      </c>
      <c r="H5" s="21">
        <f t="shared" ref="H5:H16" si="0">IFERROR(F5/G5*100," ")</f>
        <v>24.733475479744136</v>
      </c>
      <c r="I5" s="22"/>
      <c r="J5" s="23"/>
      <c r="K5" s="21" t="str">
        <f t="shared" ref="K5:K16" si="1">IF(AND(ISBLANK(I5),ISBLANK(J5))=TRUE,"",I5+J5)</f>
        <v/>
      </c>
      <c r="L5" s="22">
        <v>6.26</v>
      </c>
      <c r="M5" s="23"/>
      <c r="N5" s="23"/>
      <c r="O5" s="21">
        <f t="shared" ref="O5:O16" si="2">IF(AND(ISBLANK(L5),ISBLANK(M5),ISBLANK(N5))=TRUE,"",L5+M5+N5)</f>
        <v>6.26</v>
      </c>
      <c r="P5" s="23">
        <v>148.06</v>
      </c>
      <c r="Q5" s="21">
        <f t="shared" ref="Q5:Q16" si="3">IFERROR(O5/P5*100," ")</f>
        <v>4.2280156693232467</v>
      </c>
    </row>
    <row r="6" spans="1:17" ht="23.1" customHeight="1" x14ac:dyDescent="0.3">
      <c r="A6" s="24" t="s">
        <v>24</v>
      </c>
      <c r="B6" s="25">
        <v>137</v>
      </c>
      <c r="C6" s="25">
        <v>165.33333333333334</v>
      </c>
      <c r="D6" s="24">
        <v>32.722999999999999</v>
      </c>
      <c r="E6" s="26">
        <v>968</v>
      </c>
      <c r="F6" s="25">
        <v>242.84800000000001</v>
      </c>
      <c r="G6" s="25">
        <v>621.73699999999997</v>
      </c>
      <c r="H6" s="27">
        <f t="shared" si="0"/>
        <v>39.059602372064077</v>
      </c>
      <c r="I6" s="28"/>
      <c r="J6" s="29"/>
      <c r="K6" s="27" t="str">
        <f t="shared" si="1"/>
        <v/>
      </c>
      <c r="L6" s="28">
        <v>18.213600000000003</v>
      </c>
      <c r="M6" s="29"/>
      <c r="N6" s="29"/>
      <c r="O6" s="27">
        <f t="shared" si="2"/>
        <v>18.213600000000003</v>
      </c>
      <c r="P6" s="29">
        <v>196.33799999999999</v>
      </c>
      <c r="Q6" s="27">
        <f t="shared" si="3"/>
        <v>9.2766555633652192</v>
      </c>
    </row>
    <row r="7" spans="1:17" ht="23.1" customHeight="1" x14ac:dyDescent="0.3">
      <c r="A7" s="18" t="s">
        <v>25</v>
      </c>
      <c r="B7" s="19">
        <v>198</v>
      </c>
      <c r="C7" s="19">
        <v>237.91666666666666</v>
      </c>
      <c r="D7" s="18">
        <v>47</v>
      </c>
      <c r="E7" s="20">
        <v>1125</v>
      </c>
      <c r="F7" s="19">
        <v>299.25400000000002</v>
      </c>
      <c r="G7" s="19">
        <v>900.99900000000002</v>
      </c>
      <c r="H7" s="21">
        <f t="shared" si="0"/>
        <v>33.213577373559794</v>
      </c>
      <c r="I7" s="22">
        <v>0</v>
      </c>
      <c r="J7" s="23">
        <v>0</v>
      </c>
      <c r="K7" s="21">
        <f t="shared" si="1"/>
        <v>0</v>
      </c>
      <c r="L7" s="22">
        <v>22.444050000000001</v>
      </c>
      <c r="M7" s="23">
        <v>0</v>
      </c>
      <c r="N7" s="23">
        <v>0</v>
      </c>
      <c r="O7" s="21">
        <f t="shared" si="2"/>
        <v>22.444050000000001</v>
      </c>
      <c r="P7" s="23">
        <v>284.52600000000001</v>
      </c>
      <c r="Q7" s="21">
        <f t="shared" si="3"/>
        <v>7.8882246262204507</v>
      </c>
    </row>
    <row r="8" spans="1:17" s="30" customFormat="1" ht="30" customHeight="1" x14ac:dyDescent="0.25">
      <c r="A8" s="24" t="s">
        <v>26</v>
      </c>
      <c r="B8" s="25">
        <v>229</v>
      </c>
      <c r="C8" s="25">
        <v>264</v>
      </c>
      <c r="D8" s="24">
        <v>51</v>
      </c>
      <c r="E8" s="26">
        <v>1605</v>
      </c>
      <c r="F8" s="25">
        <v>370</v>
      </c>
      <c r="G8" s="25">
        <v>973</v>
      </c>
      <c r="H8" s="27">
        <f t="shared" si="0"/>
        <v>38.026721479958894</v>
      </c>
      <c r="I8" s="28">
        <v>0</v>
      </c>
      <c r="J8" s="29">
        <v>0</v>
      </c>
      <c r="K8" s="27">
        <f t="shared" si="1"/>
        <v>0</v>
      </c>
      <c r="L8" s="28">
        <v>28</v>
      </c>
      <c r="M8" s="29">
        <v>0</v>
      </c>
      <c r="N8" s="29">
        <v>0</v>
      </c>
      <c r="O8" s="27">
        <f t="shared" si="2"/>
        <v>28</v>
      </c>
      <c r="P8" s="29">
        <v>307</v>
      </c>
      <c r="Q8" s="27">
        <f t="shared" si="3"/>
        <v>9.120521172638437</v>
      </c>
    </row>
    <row r="9" spans="1:17" ht="23.1" customHeight="1" x14ac:dyDescent="0.3">
      <c r="A9" s="18" t="s">
        <v>27</v>
      </c>
      <c r="B9" s="19">
        <v>244</v>
      </c>
      <c r="C9" s="19">
        <v>297</v>
      </c>
      <c r="D9" s="18">
        <v>57</v>
      </c>
      <c r="E9" s="20">
        <v>1908</v>
      </c>
      <c r="F9" s="19">
        <v>468</v>
      </c>
      <c r="G9" s="19">
        <v>1077</v>
      </c>
      <c r="H9" s="21">
        <f t="shared" si="0"/>
        <v>43.454038997214482</v>
      </c>
      <c r="I9" s="22">
        <v>0</v>
      </c>
      <c r="J9" s="23">
        <v>0</v>
      </c>
      <c r="K9" s="21">
        <f t="shared" si="1"/>
        <v>0</v>
      </c>
      <c r="L9" s="22">
        <v>35</v>
      </c>
      <c r="M9" s="23">
        <v>0</v>
      </c>
      <c r="N9" s="23">
        <v>0</v>
      </c>
      <c r="O9" s="21">
        <f t="shared" si="2"/>
        <v>35</v>
      </c>
      <c r="P9" s="23">
        <v>340</v>
      </c>
      <c r="Q9" s="21">
        <f t="shared" si="3"/>
        <v>10.294117647058822</v>
      </c>
    </row>
    <row r="10" spans="1:17" ht="23.1" customHeight="1" x14ac:dyDescent="0.3">
      <c r="A10" s="24" t="s">
        <v>28</v>
      </c>
      <c r="B10" s="25">
        <v>280</v>
      </c>
      <c r="C10" s="25">
        <v>343</v>
      </c>
      <c r="D10" s="24">
        <v>64.659000000000006</v>
      </c>
      <c r="E10" s="26">
        <v>1011</v>
      </c>
      <c r="F10" s="25">
        <v>240</v>
      </c>
      <c r="G10" s="25">
        <v>1229</v>
      </c>
      <c r="H10" s="27">
        <f t="shared" si="0"/>
        <v>19.528071602929213</v>
      </c>
      <c r="I10" s="28"/>
      <c r="J10" s="29"/>
      <c r="K10" s="27" t="str">
        <f t="shared" si="1"/>
        <v/>
      </c>
      <c r="L10" s="28">
        <v>18.001999999999999</v>
      </c>
      <c r="M10" s="29"/>
      <c r="N10" s="29"/>
      <c r="O10" s="27">
        <f t="shared" si="2"/>
        <v>18.001999999999999</v>
      </c>
      <c r="P10" s="29">
        <v>387.95</v>
      </c>
      <c r="Q10" s="27">
        <f t="shared" si="3"/>
        <v>4.6402886969970361</v>
      </c>
    </row>
    <row r="11" spans="1:17" ht="23.1" customHeight="1" x14ac:dyDescent="0.3">
      <c r="A11" s="18" t="s">
        <v>29</v>
      </c>
      <c r="B11" s="19">
        <v>300</v>
      </c>
      <c r="C11" s="19">
        <v>362.33</v>
      </c>
      <c r="D11" s="18">
        <v>71.956000000000003</v>
      </c>
      <c r="E11" s="20">
        <v>2013</v>
      </c>
      <c r="F11" s="19">
        <v>487.483</v>
      </c>
      <c r="G11" s="19">
        <v>1367.164</v>
      </c>
      <c r="H11" s="21">
        <f t="shared" si="0"/>
        <v>35.656512313080221</v>
      </c>
      <c r="I11" s="22">
        <v>0</v>
      </c>
      <c r="J11" s="23">
        <v>0</v>
      </c>
      <c r="K11" s="21">
        <f t="shared" si="1"/>
        <v>0</v>
      </c>
      <c r="L11" s="22">
        <v>36.561225</v>
      </c>
      <c r="M11" s="23">
        <v>0</v>
      </c>
      <c r="N11" s="23">
        <v>0</v>
      </c>
      <c r="O11" s="21">
        <f t="shared" si="2"/>
        <v>36.561225</v>
      </c>
      <c r="P11" s="23">
        <v>431.73599999999999</v>
      </c>
      <c r="Q11" s="21">
        <f t="shared" si="3"/>
        <v>8.4684216743565521</v>
      </c>
    </row>
    <row r="12" spans="1:17" ht="23.1" customHeight="1" x14ac:dyDescent="0.3">
      <c r="A12" s="24" t="s">
        <v>30</v>
      </c>
      <c r="B12" s="25">
        <v>283</v>
      </c>
      <c r="C12" s="25">
        <v>341.58</v>
      </c>
      <c r="D12" s="24">
        <v>67.956000000000003</v>
      </c>
      <c r="E12" s="26">
        <v>1792</v>
      </c>
      <c r="F12" s="25">
        <v>425</v>
      </c>
      <c r="G12" s="25">
        <v>1291</v>
      </c>
      <c r="H12" s="27">
        <f t="shared" si="0"/>
        <v>32.920216886134781</v>
      </c>
      <c r="I12" s="28"/>
      <c r="J12" s="29"/>
      <c r="K12" s="27" t="str">
        <f t="shared" si="1"/>
        <v/>
      </c>
      <c r="L12" s="28">
        <v>31.91</v>
      </c>
      <c r="M12" s="29"/>
      <c r="N12" s="29"/>
      <c r="O12" s="27">
        <f t="shared" si="2"/>
        <v>31.91</v>
      </c>
      <c r="P12" s="29">
        <v>407.74</v>
      </c>
      <c r="Q12" s="27">
        <f t="shared" si="3"/>
        <v>7.8260656300583706</v>
      </c>
    </row>
    <row r="13" spans="1:17" ht="23.1" customHeight="1" x14ac:dyDescent="0.3">
      <c r="A13" s="18" t="s">
        <v>31</v>
      </c>
      <c r="B13" s="19">
        <v>308</v>
      </c>
      <c r="C13" s="19">
        <v>368.66666666666669</v>
      </c>
      <c r="D13" s="18">
        <v>72.025999999999996</v>
      </c>
      <c r="E13" s="20">
        <v>2037</v>
      </c>
      <c r="F13" s="19">
        <v>453.93799999999999</v>
      </c>
      <c r="G13" s="19">
        <v>1368.4939999999999</v>
      </c>
      <c r="H13" s="21">
        <f t="shared" si="0"/>
        <v>33.170624058271358</v>
      </c>
      <c r="I13" s="22"/>
      <c r="J13" s="23"/>
      <c r="K13" s="21" t="str">
        <f t="shared" si="1"/>
        <v/>
      </c>
      <c r="L13" s="22">
        <v>34.049999999999997</v>
      </c>
      <c r="M13" s="23"/>
      <c r="N13" s="23"/>
      <c r="O13" s="21">
        <f t="shared" si="2"/>
        <v>34.049999999999997</v>
      </c>
      <c r="P13" s="23">
        <v>432.15600000000001</v>
      </c>
      <c r="Q13" s="21">
        <f t="shared" si="3"/>
        <v>7.8790992141726592</v>
      </c>
    </row>
    <row r="14" spans="1:17" ht="23.1" customHeight="1" x14ac:dyDescent="0.3">
      <c r="A14" s="24" t="s">
        <v>32</v>
      </c>
      <c r="B14" s="25">
        <v>200</v>
      </c>
      <c r="C14" s="25">
        <v>245.08333333333334</v>
      </c>
      <c r="D14" s="24">
        <v>44.204999999999998</v>
      </c>
      <c r="E14" s="26">
        <v>1446</v>
      </c>
      <c r="F14" s="25">
        <v>298.904</v>
      </c>
      <c r="G14" s="25">
        <v>839.89499999999998</v>
      </c>
      <c r="H14" s="27">
        <f t="shared" si="0"/>
        <v>35.588258056066536</v>
      </c>
      <c r="I14" s="28">
        <v>0</v>
      </c>
      <c r="J14" s="29">
        <v>0</v>
      </c>
      <c r="K14" s="27">
        <f t="shared" si="1"/>
        <v>0</v>
      </c>
      <c r="L14" s="28">
        <v>22.417799999999996</v>
      </c>
      <c r="M14" s="29"/>
      <c r="N14" s="29"/>
      <c r="O14" s="27">
        <f t="shared" si="2"/>
        <v>22.417799999999996</v>
      </c>
      <c r="P14" s="29">
        <v>265.23</v>
      </c>
      <c r="Q14" s="27">
        <f t="shared" si="3"/>
        <v>8.452211288315798</v>
      </c>
    </row>
    <row r="15" spans="1:17" ht="23.1" customHeight="1" x14ac:dyDescent="0.3">
      <c r="A15" s="31" t="s">
        <v>33</v>
      </c>
      <c r="B15" s="32">
        <v>294</v>
      </c>
      <c r="C15" s="32">
        <v>348.75</v>
      </c>
      <c r="D15" s="33">
        <v>67.876000000000005</v>
      </c>
      <c r="E15" s="34">
        <v>1137</v>
      </c>
      <c r="F15" s="32">
        <v>269.31200000000001</v>
      </c>
      <c r="G15" s="32">
        <v>1289.644</v>
      </c>
      <c r="H15" s="35">
        <f t="shared" si="0"/>
        <v>20.882662192046798</v>
      </c>
      <c r="I15" s="36"/>
      <c r="J15" s="37"/>
      <c r="K15" s="35" t="str">
        <f t="shared" si="1"/>
        <v/>
      </c>
      <c r="L15" s="36">
        <v>20.198400000000003</v>
      </c>
      <c r="M15" s="37"/>
      <c r="N15" s="37"/>
      <c r="O15" s="35">
        <f t="shared" si="2"/>
        <v>20.198400000000003</v>
      </c>
      <c r="P15" s="23">
        <v>407.25599999999997</v>
      </c>
      <c r="Q15" s="21">
        <f t="shared" si="3"/>
        <v>4.9596322706111158</v>
      </c>
    </row>
    <row r="16" spans="1:17" ht="23.1" customHeight="1" x14ac:dyDescent="0.3">
      <c r="A16" s="38" t="s">
        <v>34</v>
      </c>
      <c r="B16" s="39">
        <f t="shared" ref="B16:G16" si="4">SUM(B4:B15)</f>
        <v>2587</v>
      </c>
      <c r="C16" s="39">
        <f t="shared" si="4"/>
        <v>3125.49</v>
      </c>
      <c r="D16" s="39">
        <f t="shared" si="4"/>
        <v>601.65100000000007</v>
      </c>
      <c r="E16" s="39">
        <f t="shared" si="4"/>
        <v>15488</v>
      </c>
      <c r="F16" s="39">
        <f t="shared" si="4"/>
        <v>3696.2090000000003</v>
      </c>
      <c r="G16" s="39">
        <f t="shared" si="4"/>
        <v>11592.863000000001</v>
      </c>
      <c r="H16" s="40">
        <f t="shared" si="0"/>
        <v>31.883487280061878</v>
      </c>
      <c r="I16" s="40">
        <f>SUM(I4:I15)</f>
        <v>0</v>
      </c>
      <c r="J16" s="40">
        <f>SUM(J4:J15)</f>
        <v>0</v>
      </c>
      <c r="K16" s="40">
        <f t="shared" si="1"/>
        <v>0</v>
      </c>
      <c r="L16" s="40">
        <f>SUM(L4:L15)</f>
        <v>274.96707500000002</v>
      </c>
      <c r="M16" s="40">
        <f>SUM(M4:M15)</f>
        <v>0</v>
      </c>
      <c r="N16" s="40">
        <f>SUM(N4:N15)</f>
        <v>0</v>
      </c>
      <c r="O16" s="40">
        <f t="shared" si="2"/>
        <v>274.96707500000002</v>
      </c>
      <c r="P16" s="41">
        <f>SUM(P4:P15)</f>
        <v>3660.3919999999998</v>
      </c>
      <c r="Q16" s="41">
        <f t="shared" si="3"/>
        <v>7.5119570526872543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2024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/>
      <c r="C23" s="58"/>
      <c r="D23" s="59"/>
      <c r="E23" s="57"/>
      <c r="F23" s="58"/>
      <c r="G23" s="58"/>
      <c r="H23" s="60" t="str">
        <f t="shared" ref="H23:H35" si="5">IFERROR(F23/G23*100," ")</f>
        <v xml:space="preserve"> </v>
      </c>
      <c r="I23" s="61"/>
      <c r="J23" s="61"/>
      <c r="K23" s="61" t="str">
        <f>IF(AND(ISBLANK(I23),ISBLANK(J23))=TRUE,"",I23+J23)</f>
        <v/>
      </c>
      <c r="L23" s="62"/>
      <c r="M23" s="61"/>
      <c r="N23" s="61"/>
      <c r="O23" s="63" t="str">
        <f>IF(AND(ISBLANK(L23),ISBLANK(M23),ISBLANK(N23))=TRUE,"",L23+M23+N23)</f>
        <v/>
      </c>
      <c r="P23" s="62"/>
      <c r="Q23" s="63" t="str">
        <f>IFERROR(O23/P23*100," ")</f>
        <v xml:space="preserve"> </v>
      </c>
    </row>
    <row r="24" spans="1:17" ht="23.1" customHeight="1" x14ac:dyDescent="0.3">
      <c r="A24" s="64" t="s">
        <v>23</v>
      </c>
      <c r="B24" s="65"/>
      <c r="C24" s="64"/>
      <c r="D24" s="66"/>
      <c r="E24" s="65"/>
      <c r="F24" s="64"/>
      <c r="G24" s="64"/>
      <c r="H24" s="67" t="str">
        <f t="shared" si="5"/>
        <v xml:space="preserve"> </v>
      </c>
      <c r="I24" s="68"/>
      <c r="J24" s="68"/>
      <c r="K24" s="68" t="str">
        <f t="shared" ref="K24:K35" si="6">IF(AND(ISBLANK(I24),ISBLANK(J24))=TRUE,"",I24+J24)</f>
        <v/>
      </c>
      <c r="L24" s="69"/>
      <c r="M24" s="68"/>
      <c r="N24" s="68"/>
      <c r="O24" s="67" t="str">
        <f t="shared" ref="O24:O35" si="7">IF(AND(ISBLANK(L24),ISBLANK(M24),ISBLANK(N24))=TRUE,"",L24+M24+N24)</f>
        <v/>
      </c>
      <c r="P24" s="69"/>
      <c r="Q24" s="67" t="str">
        <f t="shared" ref="Q24:Q35" si="8">IFERROR(O24/P24*100," ")</f>
        <v xml:space="preserve"> </v>
      </c>
    </row>
    <row r="25" spans="1:17" ht="23.1" customHeight="1" x14ac:dyDescent="0.3">
      <c r="A25" s="56" t="s">
        <v>24</v>
      </c>
      <c r="B25" s="70"/>
      <c r="C25" s="56"/>
      <c r="D25" s="71"/>
      <c r="E25" s="70"/>
      <c r="F25" s="56"/>
      <c r="G25" s="56"/>
      <c r="H25" s="60" t="str">
        <f t="shared" si="5"/>
        <v xml:space="preserve"> </v>
      </c>
      <c r="I25" s="72"/>
      <c r="J25" s="72"/>
      <c r="K25" s="72" t="str">
        <f t="shared" si="6"/>
        <v/>
      </c>
      <c r="L25" s="73"/>
      <c r="M25" s="72"/>
      <c r="N25" s="72"/>
      <c r="O25" s="60" t="str">
        <f t="shared" si="7"/>
        <v/>
      </c>
      <c r="P25" s="73"/>
      <c r="Q25" s="60" t="str">
        <f t="shared" si="8"/>
        <v xml:space="preserve"> </v>
      </c>
    </row>
    <row r="26" spans="1:17" ht="23.1" customHeight="1" x14ac:dyDescent="0.3">
      <c r="A26" s="64" t="s">
        <v>25</v>
      </c>
      <c r="B26" s="65"/>
      <c r="C26" s="64"/>
      <c r="D26" s="66"/>
      <c r="E26" s="65"/>
      <c r="F26" s="64"/>
      <c r="G26" s="64"/>
      <c r="H26" s="67" t="str">
        <f t="shared" si="5"/>
        <v xml:space="preserve"> </v>
      </c>
      <c r="I26" s="68"/>
      <c r="J26" s="68"/>
      <c r="K26" s="68" t="str">
        <f t="shared" si="6"/>
        <v/>
      </c>
      <c r="L26" s="69"/>
      <c r="M26" s="68"/>
      <c r="N26" s="68"/>
      <c r="O26" s="67" t="str">
        <f t="shared" si="7"/>
        <v/>
      </c>
      <c r="P26" s="69"/>
      <c r="Q26" s="67" t="str">
        <f t="shared" si="8"/>
        <v xml:space="preserve"> </v>
      </c>
    </row>
    <row r="27" spans="1:17" s="30" customFormat="1" ht="30" customHeight="1" x14ac:dyDescent="0.25">
      <c r="A27" s="56" t="s">
        <v>26</v>
      </c>
      <c r="B27" s="70"/>
      <c r="C27" s="56"/>
      <c r="D27" s="71"/>
      <c r="E27" s="70"/>
      <c r="F27" s="56"/>
      <c r="G27" s="56"/>
      <c r="H27" s="60" t="str">
        <f t="shared" si="5"/>
        <v xml:space="preserve"> </v>
      </c>
      <c r="I27" s="72"/>
      <c r="J27" s="72"/>
      <c r="K27" s="72" t="str">
        <f t="shared" si="6"/>
        <v/>
      </c>
      <c r="L27" s="73"/>
      <c r="M27" s="72"/>
      <c r="N27" s="72"/>
      <c r="O27" s="60" t="str">
        <f t="shared" si="7"/>
        <v/>
      </c>
      <c r="P27" s="73"/>
      <c r="Q27" s="60" t="str">
        <f t="shared" si="8"/>
        <v xml:space="preserve"> </v>
      </c>
    </row>
    <row r="28" spans="1:17" ht="23.1" customHeight="1" x14ac:dyDescent="0.3">
      <c r="A28" s="64" t="s">
        <v>27</v>
      </c>
      <c r="B28" s="65"/>
      <c r="C28" s="64"/>
      <c r="D28" s="66"/>
      <c r="E28" s="65"/>
      <c r="F28" s="64"/>
      <c r="G28" s="64"/>
      <c r="H28" s="67" t="str">
        <f t="shared" si="5"/>
        <v xml:space="preserve"> </v>
      </c>
      <c r="I28" s="68"/>
      <c r="J28" s="68"/>
      <c r="K28" s="68" t="str">
        <f t="shared" si="6"/>
        <v/>
      </c>
      <c r="L28" s="69"/>
      <c r="M28" s="68"/>
      <c r="N28" s="68"/>
      <c r="O28" s="67" t="str">
        <f t="shared" si="7"/>
        <v/>
      </c>
      <c r="P28" s="69"/>
      <c r="Q28" s="67" t="str">
        <f t="shared" si="8"/>
        <v xml:space="preserve"> </v>
      </c>
    </row>
    <row r="29" spans="1:17" ht="23.1" customHeight="1" x14ac:dyDescent="0.3">
      <c r="A29" s="56" t="s">
        <v>28</v>
      </c>
      <c r="B29" s="70"/>
      <c r="C29" s="56"/>
      <c r="D29" s="71"/>
      <c r="E29" s="70"/>
      <c r="F29" s="56"/>
      <c r="G29" s="56"/>
      <c r="H29" s="60" t="str">
        <f t="shared" si="5"/>
        <v xml:space="preserve"> </v>
      </c>
      <c r="I29" s="72"/>
      <c r="J29" s="72"/>
      <c r="K29" s="72" t="str">
        <f t="shared" si="6"/>
        <v/>
      </c>
      <c r="L29" s="73"/>
      <c r="M29" s="72"/>
      <c r="N29" s="72"/>
      <c r="O29" s="60" t="str">
        <f t="shared" si="7"/>
        <v/>
      </c>
      <c r="P29" s="73"/>
      <c r="Q29" s="60" t="str">
        <f t="shared" si="8"/>
        <v xml:space="preserve"> </v>
      </c>
    </row>
    <row r="30" spans="1:17" ht="23.1" customHeight="1" x14ac:dyDescent="0.3">
      <c r="A30" s="64" t="s">
        <v>29</v>
      </c>
      <c r="B30" s="65"/>
      <c r="C30" s="64"/>
      <c r="D30" s="66"/>
      <c r="E30" s="65"/>
      <c r="F30" s="64"/>
      <c r="G30" s="64"/>
      <c r="H30" s="67" t="str">
        <f t="shared" si="5"/>
        <v xml:space="preserve"> </v>
      </c>
      <c r="I30" s="68"/>
      <c r="J30" s="68"/>
      <c r="K30" s="68" t="str">
        <f t="shared" si="6"/>
        <v/>
      </c>
      <c r="L30" s="69"/>
      <c r="M30" s="68"/>
      <c r="N30" s="68"/>
      <c r="O30" s="67" t="str">
        <f t="shared" si="7"/>
        <v/>
      </c>
      <c r="P30" s="69"/>
      <c r="Q30" s="67" t="str">
        <f t="shared" si="8"/>
        <v xml:space="preserve"> </v>
      </c>
    </row>
    <row r="31" spans="1:17" ht="23.1" customHeight="1" x14ac:dyDescent="0.3">
      <c r="A31" s="56" t="s">
        <v>30</v>
      </c>
      <c r="B31" s="70"/>
      <c r="C31" s="56"/>
      <c r="D31" s="71"/>
      <c r="E31" s="70"/>
      <c r="F31" s="56"/>
      <c r="G31" s="56"/>
      <c r="H31" s="60" t="str">
        <f t="shared" si="5"/>
        <v xml:space="preserve"> </v>
      </c>
      <c r="I31" s="72"/>
      <c r="J31" s="72"/>
      <c r="K31" s="72" t="str">
        <f t="shared" si="6"/>
        <v/>
      </c>
      <c r="L31" s="73"/>
      <c r="M31" s="72"/>
      <c r="N31" s="72"/>
      <c r="O31" s="60" t="str">
        <f t="shared" si="7"/>
        <v/>
      </c>
      <c r="P31" s="73"/>
      <c r="Q31" s="60" t="str">
        <f t="shared" si="8"/>
        <v xml:space="preserve"> </v>
      </c>
    </row>
    <row r="32" spans="1:17" ht="23.1" customHeight="1" x14ac:dyDescent="0.3">
      <c r="A32" s="64" t="s">
        <v>31</v>
      </c>
      <c r="B32" s="65"/>
      <c r="C32" s="64"/>
      <c r="D32" s="66"/>
      <c r="E32" s="65"/>
      <c r="F32" s="64"/>
      <c r="G32" s="64"/>
      <c r="H32" s="67" t="str">
        <f t="shared" si="5"/>
        <v xml:space="preserve"> </v>
      </c>
      <c r="I32" s="68"/>
      <c r="J32" s="68"/>
      <c r="K32" s="68" t="str">
        <f t="shared" si="6"/>
        <v/>
      </c>
      <c r="L32" s="69"/>
      <c r="M32" s="68"/>
      <c r="N32" s="68"/>
      <c r="O32" s="67" t="str">
        <f t="shared" si="7"/>
        <v/>
      </c>
      <c r="P32" s="69"/>
      <c r="Q32" s="67" t="str">
        <f t="shared" si="8"/>
        <v xml:space="preserve"> </v>
      </c>
    </row>
    <row r="33" spans="1:17" ht="23.1" customHeight="1" x14ac:dyDescent="0.3">
      <c r="A33" s="56" t="s">
        <v>32</v>
      </c>
      <c r="B33" s="70"/>
      <c r="C33" s="56"/>
      <c r="D33" s="71"/>
      <c r="E33" s="70"/>
      <c r="F33" s="56"/>
      <c r="G33" s="56"/>
      <c r="H33" s="60" t="str">
        <f t="shared" si="5"/>
        <v xml:space="preserve"> </v>
      </c>
      <c r="I33" s="72"/>
      <c r="J33" s="72"/>
      <c r="K33" s="72" t="str">
        <f t="shared" si="6"/>
        <v/>
      </c>
      <c r="L33" s="73"/>
      <c r="M33" s="72"/>
      <c r="N33" s="72"/>
      <c r="O33" s="60" t="str">
        <f t="shared" si="7"/>
        <v/>
      </c>
      <c r="P33" s="73"/>
      <c r="Q33" s="60" t="str">
        <f t="shared" si="8"/>
        <v xml:space="preserve"> </v>
      </c>
    </row>
    <row r="34" spans="1:17" ht="23.1" customHeight="1" x14ac:dyDescent="0.3">
      <c r="A34" s="64" t="s">
        <v>33</v>
      </c>
      <c r="B34" s="74"/>
      <c r="C34" s="75"/>
      <c r="D34" s="76"/>
      <c r="E34" s="74"/>
      <c r="F34" s="75"/>
      <c r="G34" s="75"/>
      <c r="H34" s="67" t="str">
        <f t="shared" si="5"/>
        <v xml:space="preserve"> </v>
      </c>
      <c r="I34" s="77"/>
      <c r="J34" s="77"/>
      <c r="K34" s="77" t="str">
        <f t="shared" si="6"/>
        <v/>
      </c>
      <c r="L34" s="78"/>
      <c r="M34" s="77"/>
      <c r="N34" s="77"/>
      <c r="O34" s="79" t="str">
        <f t="shared" si="7"/>
        <v/>
      </c>
      <c r="P34" s="78"/>
      <c r="Q34" s="79" t="str">
        <f t="shared" si="8"/>
        <v xml:space="preserve"> </v>
      </c>
    </row>
    <row r="35" spans="1:17" ht="23.1" customHeight="1" x14ac:dyDescent="0.3">
      <c r="A35" s="80" t="s">
        <v>34</v>
      </c>
      <c r="B35" s="81">
        <f t="shared" ref="B35:G35" si="9">SUM(B23:B34)</f>
        <v>0</v>
      </c>
      <c r="C35" s="81">
        <f t="shared" si="9"/>
        <v>0</v>
      </c>
      <c r="D35" s="81">
        <f t="shared" si="9"/>
        <v>0</v>
      </c>
      <c r="E35" s="81">
        <f t="shared" si="9"/>
        <v>0</v>
      </c>
      <c r="F35" s="81">
        <f t="shared" si="9"/>
        <v>0</v>
      </c>
      <c r="G35" s="81">
        <f t="shared" si="9"/>
        <v>0</v>
      </c>
      <c r="H35" s="82" t="str">
        <f t="shared" si="5"/>
        <v xml:space="preserve"> </v>
      </c>
      <c r="I35" s="83">
        <f>SUM(I23:I34)</f>
        <v>0</v>
      </c>
      <c r="J35" s="83">
        <f>SUM(J23:J34)</f>
        <v>0</v>
      </c>
      <c r="K35" s="83">
        <f t="shared" si="6"/>
        <v>0</v>
      </c>
      <c r="L35" s="83">
        <f>SUM(L23:L34)</f>
        <v>0</v>
      </c>
      <c r="M35" s="83">
        <f>SUM(M23:M34)</f>
        <v>0</v>
      </c>
      <c r="N35" s="83">
        <f>SUM(N23:N34)</f>
        <v>0</v>
      </c>
      <c r="O35" s="83">
        <f t="shared" si="7"/>
        <v>0</v>
      </c>
      <c r="P35" s="83">
        <f>SUM(P23:P34)</f>
        <v>0</v>
      </c>
      <c r="Q35" s="83" t="str">
        <f t="shared" si="8"/>
        <v xml:space="preserve"> 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2024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/>
      <c r="C42" s="94"/>
      <c r="D42" s="95"/>
      <c r="E42" s="93"/>
      <c r="F42" s="94"/>
      <c r="G42" s="94"/>
      <c r="H42" s="96" t="str">
        <f t="shared" ref="H42:H54" si="10">IFERROR(F42/G42*100," ")</f>
        <v xml:space="preserve"> </v>
      </c>
      <c r="I42" s="97"/>
      <c r="J42" s="98"/>
      <c r="K42" s="96" t="str">
        <f>IF(AND(ISBLANK(I42),ISBLANK(J42))=TRUE,"",I42+J42)</f>
        <v/>
      </c>
      <c r="L42" s="97"/>
      <c r="M42" s="98"/>
      <c r="N42" s="98"/>
      <c r="O42" s="96" t="str">
        <f>IF(AND(ISBLANK(L42),ISBLANK(M42),ISBLANK(N42))=TRUE,"",L42+M42+N42)</f>
        <v/>
      </c>
      <c r="P42" s="97"/>
      <c r="Q42" s="96" t="str">
        <f>IFERROR(O42/P42*100," ")</f>
        <v xml:space="preserve"> </v>
      </c>
    </row>
    <row r="43" spans="1:17" ht="25.5" customHeight="1" x14ac:dyDescent="0.3">
      <c r="A43" s="99" t="s">
        <v>23</v>
      </c>
      <c r="B43" s="100"/>
      <c r="C43" s="101"/>
      <c r="D43" s="102"/>
      <c r="E43" s="100"/>
      <c r="F43" s="101"/>
      <c r="G43" s="101"/>
      <c r="H43" s="103" t="str">
        <f t="shared" si="10"/>
        <v xml:space="preserve"> </v>
      </c>
      <c r="I43" s="104"/>
      <c r="J43" s="105"/>
      <c r="K43" s="103" t="str">
        <f t="shared" ref="K43:K54" si="11">IF(AND(ISBLANK(I43),ISBLANK(J43))=TRUE,"",I43+J43)</f>
        <v/>
      </c>
      <c r="L43" s="104"/>
      <c r="M43" s="105"/>
      <c r="N43" s="105"/>
      <c r="O43" s="103" t="str">
        <f t="shared" ref="O43:O54" si="12">IF(AND(ISBLANK(L43),ISBLANK(M43),ISBLANK(N43))=TRUE,"",L43+M43+N43)</f>
        <v/>
      </c>
      <c r="P43" s="104"/>
      <c r="Q43" s="103" t="str">
        <f t="shared" ref="Q43:Q54" si="13">IFERROR(O43/P43*100," ")</f>
        <v xml:space="preserve"> </v>
      </c>
    </row>
    <row r="44" spans="1:17" ht="25.5" customHeight="1" x14ac:dyDescent="0.3">
      <c r="A44" s="92" t="s">
        <v>24</v>
      </c>
      <c r="B44" s="106"/>
      <c r="C44" s="107"/>
      <c r="D44" s="108"/>
      <c r="E44" s="106"/>
      <c r="F44" s="107"/>
      <c r="G44" s="107"/>
      <c r="H44" s="109" t="str">
        <f t="shared" si="10"/>
        <v xml:space="preserve"> </v>
      </c>
      <c r="I44" s="110"/>
      <c r="J44" s="111"/>
      <c r="K44" s="109" t="str">
        <f t="shared" si="11"/>
        <v/>
      </c>
      <c r="L44" s="110"/>
      <c r="M44" s="111"/>
      <c r="N44" s="111"/>
      <c r="O44" s="109" t="str">
        <f t="shared" si="12"/>
        <v/>
      </c>
      <c r="P44" s="110"/>
      <c r="Q44" s="109" t="str">
        <f t="shared" si="13"/>
        <v xml:space="preserve"> </v>
      </c>
    </row>
    <row r="45" spans="1:17" ht="25.5" customHeight="1" x14ac:dyDescent="0.3">
      <c r="A45" s="99" t="s">
        <v>25</v>
      </c>
      <c r="B45" s="100"/>
      <c r="C45" s="112"/>
      <c r="D45" s="102"/>
      <c r="E45" s="100"/>
      <c r="F45" s="101"/>
      <c r="G45" s="101"/>
      <c r="H45" s="103" t="str">
        <f t="shared" si="10"/>
        <v xml:space="preserve"> </v>
      </c>
      <c r="I45" s="104"/>
      <c r="J45" s="105"/>
      <c r="K45" s="103" t="str">
        <f t="shared" si="11"/>
        <v/>
      </c>
      <c r="L45" s="104"/>
      <c r="M45" s="105"/>
      <c r="N45" s="105"/>
      <c r="O45" s="103" t="str">
        <f t="shared" si="12"/>
        <v/>
      </c>
      <c r="P45" s="104"/>
      <c r="Q45" s="103" t="str">
        <f t="shared" si="13"/>
        <v xml:space="preserve"> </v>
      </c>
    </row>
    <row r="46" spans="1:17" ht="25.5" customHeight="1" x14ac:dyDescent="0.3">
      <c r="A46" s="92" t="s">
        <v>26</v>
      </c>
      <c r="B46" s="106"/>
      <c r="C46" s="113"/>
      <c r="D46" s="108"/>
      <c r="E46" s="106"/>
      <c r="F46" s="107"/>
      <c r="G46" s="107"/>
      <c r="H46" s="109" t="str">
        <f t="shared" si="10"/>
        <v xml:space="preserve"> </v>
      </c>
      <c r="I46" s="110"/>
      <c r="J46" s="111"/>
      <c r="K46" s="109" t="str">
        <f t="shared" si="11"/>
        <v/>
      </c>
      <c r="L46" s="110"/>
      <c r="M46" s="111"/>
      <c r="N46" s="111"/>
      <c r="O46" s="109" t="str">
        <f t="shared" si="12"/>
        <v/>
      </c>
      <c r="P46" s="110"/>
      <c r="Q46" s="109" t="str">
        <f t="shared" si="13"/>
        <v xml:space="preserve"> </v>
      </c>
    </row>
    <row r="47" spans="1:17" ht="25.5" customHeight="1" x14ac:dyDescent="0.3">
      <c r="A47" s="99" t="s">
        <v>27</v>
      </c>
      <c r="B47" s="114"/>
      <c r="C47" s="115"/>
      <c r="D47" s="102"/>
      <c r="E47" s="114"/>
      <c r="F47" s="115"/>
      <c r="G47" s="115"/>
      <c r="H47" s="103" t="str">
        <f t="shared" si="10"/>
        <v xml:space="preserve"> </v>
      </c>
      <c r="I47" s="116"/>
      <c r="J47" s="117"/>
      <c r="K47" s="103" t="str">
        <f t="shared" si="11"/>
        <v/>
      </c>
      <c r="L47" s="116"/>
      <c r="M47" s="117"/>
      <c r="N47" s="117"/>
      <c r="O47" s="103" t="str">
        <f t="shared" si="12"/>
        <v/>
      </c>
      <c r="P47" s="116"/>
      <c r="Q47" s="103" t="str">
        <f t="shared" si="13"/>
        <v xml:space="preserve"> </v>
      </c>
    </row>
    <row r="48" spans="1:17" s="125" customFormat="1" ht="25.5" customHeight="1" x14ac:dyDescent="0.3">
      <c r="A48" s="118" t="s">
        <v>28</v>
      </c>
      <c r="B48" s="119"/>
      <c r="C48" s="120"/>
      <c r="D48" s="121"/>
      <c r="E48" s="119"/>
      <c r="F48" s="120"/>
      <c r="G48" s="120"/>
      <c r="H48" s="122" t="str">
        <f t="shared" si="10"/>
        <v xml:space="preserve"> </v>
      </c>
      <c r="I48" s="123"/>
      <c r="J48" s="124"/>
      <c r="K48" s="122" t="str">
        <f t="shared" si="11"/>
        <v/>
      </c>
      <c r="L48" s="123"/>
      <c r="M48" s="124"/>
      <c r="N48" s="124"/>
      <c r="O48" s="122" t="str">
        <f t="shared" si="12"/>
        <v/>
      </c>
      <c r="P48" s="123"/>
      <c r="Q48" s="122" t="str">
        <f t="shared" si="13"/>
        <v xml:space="preserve"> </v>
      </c>
    </row>
    <row r="49" spans="1:17" ht="25.5" customHeight="1" x14ac:dyDescent="0.3">
      <c r="A49" s="99" t="s">
        <v>29</v>
      </c>
      <c r="B49" s="114"/>
      <c r="C49" s="115"/>
      <c r="D49" s="126"/>
      <c r="E49" s="114"/>
      <c r="F49" s="115"/>
      <c r="G49" s="115"/>
      <c r="H49" s="103" t="str">
        <f t="shared" si="10"/>
        <v xml:space="preserve"> </v>
      </c>
      <c r="I49" s="116"/>
      <c r="J49" s="117"/>
      <c r="K49" s="103" t="str">
        <f t="shared" si="11"/>
        <v/>
      </c>
      <c r="L49" s="116"/>
      <c r="M49" s="117"/>
      <c r="N49" s="117"/>
      <c r="O49" s="103" t="str">
        <f t="shared" si="12"/>
        <v/>
      </c>
      <c r="P49" s="116"/>
      <c r="Q49" s="103" t="str">
        <f t="shared" si="13"/>
        <v xml:space="preserve"> </v>
      </c>
    </row>
    <row r="50" spans="1:17" ht="25.5" customHeight="1" x14ac:dyDescent="0.3">
      <c r="A50" s="92" t="s">
        <v>30</v>
      </c>
      <c r="B50" s="127"/>
      <c r="C50" s="128"/>
      <c r="D50" s="129"/>
      <c r="E50" s="127"/>
      <c r="F50" s="128"/>
      <c r="G50" s="128"/>
      <c r="H50" s="109" t="str">
        <f t="shared" si="10"/>
        <v xml:space="preserve"> </v>
      </c>
      <c r="I50" s="130"/>
      <c r="J50" s="131"/>
      <c r="K50" s="109" t="str">
        <f t="shared" si="11"/>
        <v/>
      </c>
      <c r="L50" s="130"/>
      <c r="M50" s="131"/>
      <c r="N50" s="131"/>
      <c r="O50" s="109" t="str">
        <f t="shared" si="12"/>
        <v/>
      </c>
      <c r="P50" s="130"/>
      <c r="Q50" s="109" t="str">
        <f t="shared" si="13"/>
        <v xml:space="preserve"> </v>
      </c>
    </row>
    <row r="51" spans="1:17" ht="25.5" customHeight="1" x14ac:dyDescent="0.3">
      <c r="A51" s="99" t="s">
        <v>31</v>
      </c>
      <c r="B51" s="114"/>
      <c r="C51" s="115"/>
      <c r="D51" s="126"/>
      <c r="E51" s="114"/>
      <c r="F51" s="115"/>
      <c r="G51" s="115"/>
      <c r="H51" s="103" t="str">
        <f t="shared" si="10"/>
        <v xml:space="preserve"> </v>
      </c>
      <c r="I51" s="116"/>
      <c r="J51" s="117"/>
      <c r="K51" s="103" t="str">
        <f t="shared" si="11"/>
        <v/>
      </c>
      <c r="L51" s="116"/>
      <c r="M51" s="117"/>
      <c r="N51" s="117"/>
      <c r="O51" s="103" t="str">
        <f t="shared" si="12"/>
        <v/>
      </c>
      <c r="P51" s="116"/>
      <c r="Q51" s="103" t="str">
        <f t="shared" si="13"/>
        <v xml:space="preserve"> </v>
      </c>
    </row>
    <row r="52" spans="1:17" ht="25.5" customHeight="1" x14ac:dyDescent="0.3">
      <c r="A52" s="92" t="s">
        <v>32</v>
      </c>
      <c r="B52" s="127"/>
      <c r="C52" s="128"/>
      <c r="D52" s="129"/>
      <c r="E52" s="127"/>
      <c r="F52" s="128"/>
      <c r="G52" s="128"/>
      <c r="H52" s="109" t="str">
        <f t="shared" si="10"/>
        <v xml:space="preserve"> </v>
      </c>
      <c r="I52" s="130"/>
      <c r="J52" s="131"/>
      <c r="K52" s="109" t="str">
        <f t="shared" si="11"/>
        <v/>
      </c>
      <c r="L52" s="130"/>
      <c r="M52" s="131"/>
      <c r="N52" s="131"/>
      <c r="O52" s="109" t="str">
        <f t="shared" si="12"/>
        <v/>
      </c>
      <c r="P52" s="130"/>
      <c r="Q52" s="109" t="str">
        <f t="shared" si="13"/>
        <v xml:space="preserve"> </v>
      </c>
    </row>
    <row r="53" spans="1:17" ht="25.5" customHeight="1" x14ac:dyDescent="0.3">
      <c r="A53" s="99" t="s">
        <v>33</v>
      </c>
      <c r="B53" s="132"/>
      <c r="C53" s="133"/>
      <c r="D53" s="134"/>
      <c r="E53" s="132"/>
      <c r="F53" s="133"/>
      <c r="G53" s="133"/>
      <c r="H53" s="135" t="str">
        <f t="shared" si="10"/>
        <v xml:space="preserve"> </v>
      </c>
      <c r="I53" s="136"/>
      <c r="J53" s="137"/>
      <c r="K53" s="135" t="str">
        <f t="shared" si="11"/>
        <v/>
      </c>
      <c r="L53" s="136"/>
      <c r="M53" s="137"/>
      <c r="N53" s="137"/>
      <c r="O53" s="135" t="str">
        <f t="shared" si="12"/>
        <v/>
      </c>
      <c r="P53" s="136"/>
      <c r="Q53" s="135" t="str">
        <f t="shared" si="13"/>
        <v xml:space="preserve"> </v>
      </c>
    </row>
    <row r="54" spans="1:17" ht="25.5" customHeight="1" x14ac:dyDescent="0.3">
      <c r="A54" s="138" t="s">
        <v>34</v>
      </c>
      <c r="B54" s="139">
        <f t="shared" ref="B54:G54" si="14">SUM(B42:B53)</f>
        <v>0</v>
      </c>
      <c r="C54" s="139">
        <f t="shared" si="14"/>
        <v>0</v>
      </c>
      <c r="D54" s="139">
        <f t="shared" si="14"/>
        <v>0</v>
      </c>
      <c r="E54" s="139">
        <f t="shared" si="14"/>
        <v>0</v>
      </c>
      <c r="F54" s="139">
        <f t="shared" si="14"/>
        <v>0</v>
      </c>
      <c r="G54" s="139">
        <f t="shared" si="14"/>
        <v>0</v>
      </c>
      <c r="H54" s="140" t="str">
        <f t="shared" si="10"/>
        <v xml:space="preserve"> </v>
      </c>
      <c r="I54" s="140">
        <f>SUM(I42:I53)</f>
        <v>0</v>
      </c>
      <c r="J54" s="140">
        <f>SUM(J42:J53)</f>
        <v>0</v>
      </c>
      <c r="K54" s="140">
        <f t="shared" si="11"/>
        <v>0</v>
      </c>
      <c r="L54" s="140">
        <f>SUM(L42:L53)</f>
        <v>0</v>
      </c>
      <c r="M54" s="140">
        <f>SUM(M42:M53)</f>
        <v>0</v>
      </c>
      <c r="N54" s="140">
        <f>SUM(N42:N53)</f>
        <v>0</v>
      </c>
      <c r="O54" s="140">
        <f t="shared" si="12"/>
        <v>0</v>
      </c>
      <c r="P54" s="141">
        <f>SUM(P42:P53)</f>
        <v>0</v>
      </c>
      <c r="Q54" s="140" t="str">
        <f t="shared" si="13"/>
        <v xml:space="preserve"> 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2024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15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15"/>
        <v xml:space="preserve"> </v>
      </c>
      <c r="I62" s="116"/>
      <c r="J62" s="117"/>
      <c r="K62" s="117" t="str">
        <f t="shared" ref="K62:K73" si="16">IF(AND(ISBLANK(I62),ISBLANK(J62))=TRUE,"",I62+J62)</f>
        <v/>
      </c>
      <c r="L62" s="116"/>
      <c r="M62" s="117"/>
      <c r="N62" s="117"/>
      <c r="O62" s="103" t="str">
        <f t="shared" ref="O62:O73" si="17">IF(AND(ISBLANK(L62),ISBLANK(M62),ISBLANK(N62))=TRUE,"",L62+M62+N62)</f>
        <v/>
      </c>
      <c r="P62" s="117"/>
      <c r="Q62" s="158" t="str">
        <f t="shared" ref="Q62:Q73" si="18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15"/>
        <v xml:space="preserve"> </v>
      </c>
      <c r="I63" s="163"/>
      <c r="J63" s="164"/>
      <c r="K63" s="164" t="str">
        <f t="shared" si="16"/>
        <v/>
      </c>
      <c r="L63" s="163"/>
      <c r="M63" s="164"/>
      <c r="N63" s="164"/>
      <c r="O63" s="165" t="str">
        <f t="shared" si="17"/>
        <v/>
      </c>
      <c r="P63" s="164"/>
      <c r="Q63" s="162" t="str">
        <f t="shared" si="18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15"/>
        <v xml:space="preserve"> </v>
      </c>
      <c r="I64" s="116"/>
      <c r="J64" s="117"/>
      <c r="K64" s="117" t="str">
        <f t="shared" si="16"/>
        <v/>
      </c>
      <c r="L64" s="116"/>
      <c r="M64" s="117"/>
      <c r="N64" s="117"/>
      <c r="O64" s="103" t="str">
        <f t="shared" si="17"/>
        <v/>
      </c>
      <c r="P64" s="117"/>
      <c r="Q64" s="158" t="str">
        <f t="shared" si="18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15"/>
        <v xml:space="preserve"> </v>
      </c>
      <c r="I65" s="163"/>
      <c r="J65" s="164"/>
      <c r="K65" s="164" t="str">
        <f t="shared" si="16"/>
        <v/>
      </c>
      <c r="L65" s="163"/>
      <c r="M65" s="164"/>
      <c r="N65" s="164"/>
      <c r="O65" s="165" t="str">
        <f t="shared" si="17"/>
        <v/>
      </c>
      <c r="P65" s="164"/>
      <c r="Q65" s="162" t="str">
        <f t="shared" si="18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15"/>
        <v xml:space="preserve"> </v>
      </c>
      <c r="I66" s="116"/>
      <c r="J66" s="117"/>
      <c r="K66" s="117" t="str">
        <f t="shared" si="16"/>
        <v/>
      </c>
      <c r="L66" s="116"/>
      <c r="M66" s="117"/>
      <c r="N66" s="117"/>
      <c r="O66" s="103" t="str">
        <f t="shared" si="17"/>
        <v/>
      </c>
      <c r="P66" s="117"/>
      <c r="Q66" s="158" t="str">
        <f t="shared" si="18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15"/>
        <v xml:space="preserve"> </v>
      </c>
      <c r="I67" s="163"/>
      <c r="J67" s="164"/>
      <c r="K67" s="164" t="str">
        <f t="shared" si="16"/>
        <v/>
      </c>
      <c r="L67" s="163"/>
      <c r="M67" s="164"/>
      <c r="N67" s="164"/>
      <c r="O67" s="165" t="str">
        <f t="shared" si="17"/>
        <v/>
      </c>
      <c r="P67" s="164"/>
      <c r="Q67" s="162" t="str">
        <f t="shared" si="18"/>
        <v xml:space="preserve"> 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15"/>
        <v xml:space="preserve"> </v>
      </c>
      <c r="I68" s="116"/>
      <c r="J68" s="117"/>
      <c r="K68" s="117" t="str">
        <f t="shared" si="16"/>
        <v/>
      </c>
      <c r="L68" s="116"/>
      <c r="M68" s="117"/>
      <c r="N68" s="117"/>
      <c r="O68" s="103" t="str">
        <f t="shared" si="17"/>
        <v/>
      </c>
      <c r="P68" s="117"/>
      <c r="Q68" s="158" t="str">
        <f t="shared" si="18"/>
        <v xml:space="preserve"> 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15"/>
        <v xml:space="preserve"> </v>
      </c>
      <c r="I69" s="163"/>
      <c r="J69" s="164"/>
      <c r="K69" s="164" t="str">
        <f t="shared" si="16"/>
        <v/>
      </c>
      <c r="L69" s="163"/>
      <c r="M69" s="164"/>
      <c r="N69" s="164"/>
      <c r="O69" s="165" t="str">
        <f t="shared" si="17"/>
        <v/>
      </c>
      <c r="P69" s="164"/>
      <c r="Q69" s="162" t="str">
        <f t="shared" si="18"/>
        <v xml:space="preserve"> 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15"/>
        <v xml:space="preserve"> </v>
      </c>
      <c r="I70" s="116"/>
      <c r="J70" s="117"/>
      <c r="K70" s="117" t="str">
        <f t="shared" si="16"/>
        <v/>
      </c>
      <c r="L70" s="116"/>
      <c r="M70" s="117"/>
      <c r="N70" s="117"/>
      <c r="O70" s="103" t="str">
        <f t="shared" si="17"/>
        <v/>
      </c>
      <c r="P70" s="117"/>
      <c r="Q70" s="158" t="str">
        <f t="shared" si="18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15"/>
        <v xml:space="preserve"> </v>
      </c>
      <c r="I71" s="163"/>
      <c r="J71" s="164"/>
      <c r="K71" s="164" t="str">
        <f t="shared" si="16"/>
        <v/>
      </c>
      <c r="L71" s="163"/>
      <c r="M71" s="164"/>
      <c r="N71" s="164"/>
      <c r="O71" s="165" t="str">
        <f t="shared" si="17"/>
        <v/>
      </c>
      <c r="P71" s="164"/>
      <c r="Q71" s="162" t="str">
        <f t="shared" si="18"/>
        <v xml:space="preserve"> 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15"/>
        <v xml:space="preserve"> </v>
      </c>
      <c r="I72" s="136"/>
      <c r="J72" s="137"/>
      <c r="K72" s="137" t="str">
        <f t="shared" si="16"/>
        <v/>
      </c>
      <c r="L72" s="136"/>
      <c r="M72" s="137"/>
      <c r="N72" s="137"/>
      <c r="O72" s="135" t="str">
        <f t="shared" si="17"/>
        <v/>
      </c>
      <c r="P72" s="137"/>
      <c r="Q72" s="135" t="str">
        <f t="shared" si="18"/>
        <v xml:space="preserve"> </v>
      </c>
    </row>
    <row r="73" spans="1:17" ht="24.75" customHeight="1" x14ac:dyDescent="0.3">
      <c r="A73" s="166" t="s">
        <v>34</v>
      </c>
      <c r="B73" s="167">
        <f t="shared" ref="B73:G73" si="19">SUM(B61:B72)</f>
        <v>0</v>
      </c>
      <c r="C73" s="167">
        <f t="shared" si="19"/>
        <v>0</v>
      </c>
      <c r="D73" s="167">
        <f t="shared" si="19"/>
        <v>0</v>
      </c>
      <c r="E73" s="167">
        <f t="shared" si="19"/>
        <v>0</v>
      </c>
      <c r="F73" s="167">
        <f t="shared" si="19"/>
        <v>0</v>
      </c>
      <c r="G73" s="167">
        <f t="shared" si="19"/>
        <v>0</v>
      </c>
      <c r="H73" s="168" t="str">
        <f t="shared" si="15"/>
        <v xml:space="preserve"> </v>
      </c>
      <c r="I73" s="169">
        <f>SUM(I61:I72)</f>
        <v>0</v>
      </c>
      <c r="J73" s="169">
        <f>SUM(J61:J72)</f>
        <v>0</v>
      </c>
      <c r="K73" s="169">
        <f t="shared" si="16"/>
        <v>0</v>
      </c>
      <c r="L73" s="169">
        <f>SUM(L61:L72)</f>
        <v>0</v>
      </c>
      <c r="M73" s="169">
        <f>SUM(M61:M72)</f>
        <v>0</v>
      </c>
      <c r="N73" s="169">
        <f>SUM(N61:N72)</f>
        <v>0</v>
      </c>
      <c r="O73" s="169">
        <f t="shared" si="17"/>
        <v>0</v>
      </c>
      <c r="P73" s="169">
        <f>SUM(P61:P72)</f>
        <v>0</v>
      </c>
      <c r="Q73" s="168" t="str">
        <f t="shared" si="18"/>
        <v xml:space="preserve"> 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2025-01-16T09:02:33Z</dcterms:created>
  <dcterms:modified xsi:type="dcterms:W3CDTF">2025-01-16T09:03:00Z</dcterms:modified>
</cp:coreProperties>
</file>