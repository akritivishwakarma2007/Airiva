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December 2024\Excel December  2024\"/>
    </mc:Choice>
  </mc:AlternateContent>
  <bookViews>
    <workbookView xWindow="0" yWindow="0" windowWidth="24000" windowHeight="9435"/>
  </bookViews>
  <sheets>
    <sheet name="Monthly_Template" sheetId="2" r:id="rId1"/>
    <sheet name="Sheet1" sheetId="1" r:id="rId2"/>
  </sheets>
  <externalReferences>
    <externalReference r:id="rId3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Monthly_Template!$C$135</definedName>
    <definedName name="\x">#REF!</definedName>
    <definedName name="_Regression_Int" localSheetId="0" hidden="1">1</definedName>
    <definedName name="airline">[1]Interface!$AT$7:$AT$32</definedName>
    <definedName name="data">[1]Interface!$AR$7:$AR$21</definedName>
    <definedName name="_xlnm.Print_Area" localSheetId="0">Monthly_Template!$A$1:$Q$40</definedName>
    <definedName name="Print_Area_MI" localSheetId="0">Monthly_Template!#REF!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2" l="1"/>
  <c r="H26" i="2"/>
  <c r="H27" i="2"/>
  <c r="H28" i="2"/>
  <c r="H29" i="2"/>
  <c r="H30" i="2"/>
  <c r="H31" i="2"/>
  <c r="H32" i="2"/>
  <c r="H33" i="2"/>
  <c r="H34" i="2"/>
  <c r="H35" i="2"/>
  <c r="O14" i="2" l="1"/>
  <c r="K14" i="2"/>
  <c r="H14" i="2"/>
  <c r="O13" i="2" l="1"/>
  <c r="K13" i="2"/>
  <c r="H13" i="2"/>
  <c r="O12" i="2" l="1"/>
  <c r="Q12" i="2" s="1"/>
  <c r="K12" i="2"/>
  <c r="H12" i="2"/>
  <c r="H11" i="2"/>
  <c r="O11" i="2"/>
  <c r="Q11" i="2" s="1"/>
  <c r="K11" i="2"/>
  <c r="O10" i="2"/>
  <c r="Q10" i="2" s="1"/>
  <c r="K10" i="2"/>
  <c r="H10" i="2"/>
  <c r="O8" i="2"/>
  <c r="Q8" i="2" s="1"/>
  <c r="O5" i="2"/>
  <c r="Q5" i="2" s="1"/>
  <c r="K5" i="2"/>
  <c r="H5" i="2"/>
  <c r="O35" i="2"/>
  <c r="Q35" i="2" s="1"/>
  <c r="O34" i="2"/>
  <c r="Q34" i="2" s="1"/>
  <c r="O33" i="2"/>
  <c r="Q33" i="2" s="1"/>
  <c r="O32" i="2"/>
  <c r="Q32" i="2" s="1"/>
  <c r="O31" i="2"/>
  <c r="Q31" i="2" s="1"/>
  <c r="O30" i="2"/>
  <c r="Q30" i="2" s="1"/>
  <c r="O29" i="2"/>
  <c r="Q29" i="2" s="1"/>
  <c r="O28" i="2"/>
  <c r="Q28" i="2" s="1"/>
  <c r="O27" i="2"/>
  <c r="Q27" i="2" s="1"/>
  <c r="O26" i="2"/>
  <c r="Q26" i="2" s="1"/>
  <c r="O25" i="2"/>
  <c r="Q25" i="2" s="1"/>
  <c r="K35" i="2"/>
  <c r="K34" i="2"/>
  <c r="K33" i="2"/>
  <c r="K32" i="2"/>
  <c r="K31" i="2"/>
  <c r="K30" i="2"/>
  <c r="K29" i="2"/>
  <c r="K28" i="2"/>
  <c r="K27" i="2"/>
  <c r="K26" i="2"/>
  <c r="K25" i="2"/>
  <c r="O4" i="2"/>
  <c r="Q4" i="2" s="1"/>
  <c r="K4" i="2"/>
  <c r="H4" i="2"/>
  <c r="Q14" i="2"/>
  <c r="Q13" i="2"/>
  <c r="K8" i="2"/>
  <c r="H9" i="2"/>
  <c r="O9" i="2"/>
  <c r="Q9" i="2" s="1"/>
  <c r="K9" i="2"/>
  <c r="H8" i="2"/>
  <c r="O7" i="2"/>
  <c r="Q7" i="2" s="1"/>
  <c r="K7" i="2"/>
  <c r="H7" i="2"/>
  <c r="O6" i="2"/>
  <c r="Q6" i="2" s="1"/>
  <c r="K6" i="2"/>
  <c r="H6" i="2"/>
  <c r="H15" i="2"/>
  <c r="K15" i="2"/>
  <c r="O15" i="2"/>
  <c r="Q15" i="2" s="1"/>
  <c r="B16" i="2"/>
  <c r="C16" i="2"/>
  <c r="D16" i="2"/>
  <c r="E16" i="2"/>
  <c r="F16" i="2"/>
  <c r="G16" i="2"/>
  <c r="I16" i="2"/>
  <c r="J16" i="2"/>
  <c r="L16" i="2"/>
  <c r="M16" i="2"/>
  <c r="N16" i="2"/>
  <c r="P16" i="2"/>
  <c r="H24" i="2"/>
  <c r="K24" i="2"/>
  <c r="O24" i="2"/>
  <c r="Q24" i="2" s="1"/>
  <c r="B36" i="2"/>
  <c r="C36" i="2"/>
  <c r="D36" i="2"/>
  <c r="E36" i="2"/>
  <c r="F36" i="2"/>
  <c r="G36" i="2"/>
  <c r="I36" i="2"/>
  <c r="J36" i="2"/>
  <c r="L36" i="2"/>
  <c r="M36" i="2"/>
  <c r="N36" i="2"/>
  <c r="P36" i="2"/>
  <c r="H16" i="2" l="1"/>
  <c r="K36" i="2"/>
  <c r="H36" i="2"/>
  <c r="K16" i="2"/>
  <c r="O36" i="2"/>
  <c r="Q36" i="2" s="1"/>
  <c r="O16" i="2"/>
  <c r="Q16" i="2" s="1"/>
</calcChain>
</file>

<file path=xl/sharedStrings.xml><?xml version="1.0" encoding="utf-8"?>
<sst xmlns="http://schemas.openxmlformats.org/spreadsheetml/2006/main" count="75" uniqueCount="39">
  <si>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</si>
  <si>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</si>
  <si>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</si>
  <si>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</si>
  <si>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</si>
  <si>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</si>
  <si>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</si>
  <si>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</si>
  <si>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</si>
  <si>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</si>
  <si>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</si>
  <si>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</si>
  <si>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</si>
  <si>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</si>
  <si>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</si>
  <si>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</si>
  <si>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</si>
  <si>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</si>
  <si>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</si>
  <si>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</si>
  <si>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</si>
  <si>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</si>
  <si>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</si>
  <si>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</si>
  <si>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</si>
  <si>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</si>
  <si>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</si>
  <si>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</si>
  <si>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</si>
  <si>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</si>
  <si>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</si>
  <si>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</si>
  <si>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</si>
  <si>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NOTE:- # PAX LOAD FACTOR = (PAX KM PERFORMED/AVAILABLE SEAT KMS)*100</t>
  </si>
  <si>
    <t xml:space="preserve">          # # WEIGHT LOAD FACTOR = (TONNE KMS PERFORMED/ AVAILABLE TONNE KMS)*100</t>
  </si>
  <si>
    <t>[</t>
  </si>
  <si>
    <t>Monthly Traffic And Operating Statistics of Indian Carriers During 2024 (Provisional)
 ( Scheduled International  Services)</t>
  </si>
  <si>
    <t>Monthly Traffic And Operating Statistics of Indian Carriers During 2024 (Provisional)
 (Non- Scheduled International Services)</t>
  </si>
  <si>
    <t>SOURCE:-ICAO ATR FORM A FURNISHED BY SCHEDULED OPERTORS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</si>
</sst>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_)"/>
    <numFmt numFmtId="166" formatCode="#,##0.000"/>
  </numFmts>
  <fonts count="9" x14ac:knownFonts="1">
    <font>
      <sz val="11"/>
      <color theme="1"/>
      <name val="Calibri"/>
      <family val="2"/>
      <charset val="1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b/>
      <sz val="11"/>
      <color theme="1"/>
      <name val="Cambria"/>
      <family val="1"/>
    </font>
    <font>
      <sz val="11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b/>
      <sz val="12"/>
      <color theme="1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4">
    <xf numFmtId="0" fontId="0" fillId="0" borderId="0" xfId="0"/>
    <xf numFmtId="0" fontId="4" fillId="2" borderId="0" xfId="1" applyFont="1" applyFill="1"/>
    <xf numFmtId="0" fontId="3" fillId="2" borderId="0" xfId="1" applyFont="1" applyFill="1"/>
    <xf numFmtId="0" fontId="4" fillId="2" borderId="0" xfId="1" applyFont="1" applyFill="1" applyAlignment="1">
      <alignment vertical="center"/>
    </xf>
    <xf numFmtId="0" fontId="7" fillId="4" borderId="3" xfId="1" applyFont="1" applyFill="1" applyBorder="1" applyAlignment="1" applyProtection="1">
      <alignment horizontal="center" vertical="center" textRotation="90" wrapText="1"/>
    </xf>
    <xf numFmtId="0" fontId="7" fillId="4" borderId="3" xfId="1" quotePrefix="1" applyFont="1" applyFill="1" applyBorder="1" applyAlignment="1" applyProtection="1">
      <alignment horizontal="center" vertical="center" textRotation="90" wrapText="1"/>
    </xf>
    <xf numFmtId="0" fontId="7" fillId="4" borderId="2" xfId="1" applyFont="1" applyFill="1" applyBorder="1" applyAlignment="1" applyProtection="1">
      <alignment horizontal="center" vertical="center" textRotation="90" wrapText="1"/>
    </xf>
    <xf numFmtId="3" fontId="6" fillId="3" borderId="0" xfId="1" applyNumberFormat="1" applyFont="1" applyFill="1" applyBorder="1" applyAlignment="1" applyProtection="1">
      <alignment horizontal="center" vertical="center" wrapText="1"/>
    </xf>
    <xf numFmtId="3" fontId="6" fillId="3" borderId="7" xfId="1" applyNumberFormat="1" applyFont="1" applyFill="1" applyBorder="1" applyAlignment="1" applyProtection="1">
      <alignment horizontal="center" vertical="center" wrapText="1"/>
    </xf>
    <xf numFmtId="3" fontId="6" fillId="3" borderId="5" xfId="1" applyNumberFormat="1" applyFont="1" applyFill="1" applyBorder="1" applyAlignment="1" applyProtection="1">
      <alignment horizontal="center" vertical="center" wrapText="1"/>
    </xf>
    <xf numFmtId="3" fontId="6" fillId="3" borderId="6" xfId="1" applyNumberFormat="1" applyFont="1" applyFill="1" applyBorder="1" applyAlignment="1" applyProtection="1">
      <alignment horizontal="center" vertical="center" wrapText="1"/>
    </xf>
    <xf numFmtId="164" fontId="6" fillId="3" borderId="8" xfId="1" applyNumberFormat="1" applyFont="1" applyFill="1" applyBorder="1" applyAlignment="1" applyProtection="1">
      <alignment horizontal="center" vertical="center" wrapText="1"/>
    </xf>
    <xf numFmtId="164" fontId="6" fillId="3" borderId="5" xfId="1" applyNumberFormat="1" applyFont="1" applyFill="1" applyBorder="1" applyAlignment="1" applyProtection="1">
      <alignment horizontal="center" vertical="center" wrapText="1"/>
    </xf>
    <xf numFmtId="164" fontId="6" fillId="3" borderId="7" xfId="1" applyNumberFormat="1" applyFont="1" applyFill="1" applyBorder="1" applyAlignment="1" applyProtection="1">
      <alignment horizontal="center" vertical="center" wrapText="1"/>
    </xf>
    <xf numFmtId="164" fontId="6" fillId="3" borderId="6" xfId="1" applyNumberFormat="1" applyFont="1" applyFill="1" applyBorder="1" applyAlignment="1" applyProtection="1">
      <alignment horizontal="center" vertical="center" wrapText="1"/>
    </xf>
    <xf numFmtId="3" fontId="6" fillId="5" borderId="0" xfId="1" applyNumberFormat="1" applyFont="1" applyFill="1" applyBorder="1" applyAlignment="1" applyProtection="1">
      <alignment horizontal="center" vertical="center" wrapText="1"/>
    </xf>
    <xf numFmtId="3" fontId="6" fillId="5" borderId="9" xfId="1" applyNumberFormat="1" applyFont="1" applyFill="1" applyBorder="1" applyAlignment="1" applyProtection="1">
      <alignment horizontal="center" vertical="center" wrapText="1"/>
    </xf>
    <xf numFmtId="3" fontId="6" fillId="5" borderId="8" xfId="1" applyNumberFormat="1" applyFont="1" applyFill="1" applyBorder="1" applyAlignment="1" applyProtection="1">
      <alignment horizontal="center" vertical="center" wrapText="1"/>
    </xf>
    <xf numFmtId="164" fontId="6" fillId="5" borderId="8" xfId="1" applyNumberFormat="1" applyFont="1" applyFill="1" applyBorder="1" applyAlignment="1" applyProtection="1">
      <alignment horizontal="center" vertical="center" wrapText="1"/>
    </xf>
    <xf numFmtId="164" fontId="6" fillId="5" borderId="0" xfId="1" applyNumberFormat="1" applyFont="1" applyFill="1" applyBorder="1" applyAlignment="1" applyProtection="1">
      <alignment horizontal="center" vertical="center" wrapText="1"/>
    </xf>
    <xf numFmtId="164" fontId="6" fillId="5" borderId="9" xfId="1" applyNumberFormat="1" applyFont="1" applyFill="1" applyBorder="1" applyAlignment="1" applyProtection="1">
      <alignment horizontal="center" vertical="center" wrapText="1"/>
    </xf>
    <xf numFmtId="3" fontId="6" fillId="3" borderId="9" xfId="1" applyNumberFormat="1" applyFont="1" applyFill="1" applyBorder="1" applyAlignment="1" applyProtection="1">
      <alignment horizontal="center" vertical="center" wrapText="1"/>
    </xf>
    <xf numFmtId="3" fontId="6" fillId="3" borderId="8" xfId="1" applyNumberFormat="1" applyFont="1" applyFill="1" applyBorder="1" applyAlignment="1" applyProtection="1">
      <alignment horizontal="center" vertical="center" wrapText="1"/>
    </xf>
    <xf numFmtId="164" fontId="6" fillId="3" borderId="0" xfId="1" applyNumberFormat="1" applyFont="1" applyFill="1" applyBorder="1" applyAlignment="1" applyProtection="1">
      <alignment horizontal="center" vertical="center" wrapText="1"/>
    </xf>
    <xf numFmtId="164" fontId="6" fillId="3" borderId="9" xfId="1" applyNumberFormat="1" applyFont="1" applyFill="1" applyBorder="1" applyAlignment="1" applyProtection="1">
      <alignment horizontal="center" vertical="center" wrapText="1"/>
    </xf>
    <xf numFmtId="3" fontId="6" fillId="5" borderId="12" xfId="1" applyNumberFormat="1" applyFont="1" applyFill="1" applyBorder="1" applyAlignment="1" applyProtection="1">
      <alignment horizontal="center" vertical="center" wrapText="1"/>
    </xf>
    <xf numFmtId="3" fontId="6" fillId="5" borderId="1" xfId="1" applyNumberFormat="1" applyFont="1" applyFill="1" applyBorder="1" applyAlignment="1" applyProtection="1">
      <alignment horizontal="center" vertical="center" wrapText="1"/>
    </xf>
    <xf numFmtId="3" fontId="6" fillId="5" borderId="11" xfId="1" applyNumberFormat="1" applyFont="1" applyFill="1" applyBorder="1" applyAlignment="1" applyProtection="1">
      <alignment horizontal="center" vertical="center" wrapText="1"/>
    </xf>
    <xf numFmtId="164" fontId="6" fillId="5" borderId="1" xfId="1" applyNumberFormat="1" applyFont="1" applyFill="1" applyBorder="1" applyAlignment="1" applyProtection="1">
      <alignment horizontal="center" vertical="center" wrapText="1"/>
    </xf>
    <xf numFmtId="164" fontId="6" fillId="5" borderId="12" xfId="1" applyNumberFormat="1" applyFont="1" applyFill="1" applyBorder="1" applyAlignment="1" applyProtection="1">
      <alignment horizontal="center" vertical="center" wrapText="1"/>
    </xf>
    <xf numFmtId="164" fontId="6" fillId="5" borderId="11" xfId="1" applyNumberFormat="1" applyFont="1" applyFill="1" applyBorder="1" applyAlignment="1" applyProtection="1">
      <alignment horizontal="center" vertical="center" wrapText="1"/>
    </xf>
    <xf numFmtId="0" fontId="7" fillId="4" borderId="10" xfId="1" applyFont="1" applyFill="1" applyBorder="1" applyAlignment="1" applyProtection="1">
      <alignment horizontal="center" vertical="center" wrapText="1"/>
    </xf>
    <xf numFmtId="3" fontId="3" fillId="4" borderId="4" xfId="1" applyNumberFormat="1" applyFont="1" applyFill="1" applyBorder="1" applyAlignment="1" applyProtection="1">
      <alignment horizontal="center" vertical="center" wrapText="1"/>
    </xf>
    <xf numFmtId="164" fontId="3" fillId="4" borderId="3" xfId="1" applyNumberFormat="1" applyFont="1" applyFill="1" applyBorder="1" applyAlignment="1" applyProtection="1">
      <alignment horizontal="center" vertical="center" wrapText="1"/>
    </xf>
    <xf numFmtId="164" fontId="3" fillId="4" borderId="4" xfId="1" applyNumberFormat="1" applyFont="1" applyFill="1" applyBorder="1" applyAlignment="1" applyProtection="1">
      <alignment horizontal="center" vertical="center" wrapText="1"/>
    </xf>
    <xf numFmtId="0" fontId="3" fillId="2" borderId="0" xfId="1" applyFont="1" applyFill="1" applyBorder="1" applyAlignment="1" applyProtection="1">
      <alignment horizontal="center" vertical="center" wrapText="1"/>
    </xf>
    <xf numFmtId="164" fontId="3" fillId="2" borderId="8" xfId="1" applyNumberFormat="1" applyFont="1" applyFill="1" applyBorder="1" applyAlignment="1" applyProtection="1">
      <alignment horizontal="center" vertical="center" wrapText="1"/>
    </xf>
    <xf numFmtId="3" fontId="3" fillId="2" borderId="9" xfId="1" applyNumberFormat="1" applyFont="1" applyFill="1" applyBorder="1" applyAlignment="1" applyProtection="1">
      <alignment horizontal="center" vertical="center" wrapText="1"/>
    </xf>
    <xf numFmtId="3" fontId="3" fillId="2" borderId="0" xfId="1" applyNumberFormat="1" applyFont="1" applyFill="1" applyBorder="1" applyAlignment="1" applyProtection="1">
      <alignment horizontal="center" vertical="center" wrapText="1"/>
    </xf>
    <xf numFmtId="164" fontId="3" fillId="2" borderId="9" xfId="1" applyNumberFormat="1" applyFont="1" applyFill="1" applyBorder="1" applyAlignment="1" applyProtection="1">
      <alignment horizontal="center" vertical="center" wrapText="1"/>
    </xf>
    <xf numFmtId="164" fontId="3" fillId="2" borderId="0" xfId="1" applyNumberFormat="1" applyFont="1" applyFill="1" applyBorder="1" applyAlignment="1" applyProtection="1">
      <alignment horizontal="center" vertical="center" wrapText="1"/>
    </xf>
    <xf numFmtId="3" fontId="3" fillId="2" borderId="8" xfId="1" applyNumberFormat="1" applyFont="1" applyFill="1" applyBorder="1" applyAlignment="1" applyProtection="1">
      <alignment horizontal="center" vertical="center" wrapText="1"/>
    </xf>
    <xf numFmtId="3" fontId="3" fillId="2" borderId="12" xfId="1" applyNumberFormat="1" applyFont="1" applyFill="1" applyBorder="1" applyAlignment="1" applyProtection="1">
      <alignment horizontal="center" vertical="center" wrapText="1"/>
    </xf>
    <xf numFmtId="3" fontId="3" fillId="2" borderId="1" xfId="1" applyNumberFormat="1" applyFont="1" applyFill="1" applyBorder="1" applyAlignment="1" applyProtection="1">
      <alignment horizontal="center" vertical="center" wrapText="1"/>
    </xf>
    <xf numFmtId="3" fontId="3" fillId="2" borderId="11" xfId="1" applyNumberFormat="1" applyFont="1" applyFill="1" applyBorder="1" applyAlignment="1" applyProtection="1">
      <alignment horizontal="center" vertical="center" wrapText="1"/>
    </xf>
    <xf numFmtId="164" fontId="3" fillId="2" borderId="11" xfId="1" applyNumberFormat="1" applyFont="1" applyFill="1" applyBorder="1" applyAlignment="1" applyProtection="1">
      <alignment horizontal="center" vertical="center" wrapText="1"/>
    </xf>
    <xf numFmtId="164" fontId="3" fillId="2" borderId="12" xfId="1" applyNumberFormat="1" applyFont="1" applyFill="1" applyBorder="1" applyAlignment="1" applyProtection="1">
      <alignment horizontal="center" vertical="center" wrapText="1"/>
    </xf>
    <xf numFmtId="164" fontId="3" fillId="2" borderId="1" xfId="1" applyNumberFormat="1" applyFont="1" applyFill="1" applyBorder="1" applyAlignment="1" applyProtection="1">
      <alignment horizontal="center" vertical="center" wrapText="1"/>
    </xf>
    <xf numFmtId="0" fontId="7" fillId="7" borderId="2" xfId="1" applyFont="1" applyFill="1" applyBorder="1" applyAlignment="1" applyProtection="1">
      <alignment horizontal="center" vertical="center" textRotation="90" wrapText="1"/>
    </xf>
    <xf numFmtId="0" fontId="7" fillId="7" borderId="2" xfId="1" quotePrefix="1" applyFont="1" applyFill="1" applyBorder="1" applyAlignment="1" applyProtection="1">
      <alignment horizontal="center" vertical="center" textRotation="90" wrapText="1"/>
    </xf>
    <xf numFmtId="0" fontId="3" fillId="6" borderId="0" xfId="1" applyFont="1" applyFill="1" applyBorder="1" applyAlignment="1" applyProtection="1">
      <alignment horizontal="center" vertical="center" wrapText="1"/>
    </xf>
    <xf numFmtId="3" fontId="3" fillId="6" borderId="7" xfId="1" applyNumberFormat="1" applyFont="1" applyFill="1" applyBorder="1" applyAlignment="1" applyProtection="1">
      <alignment horizontal="center" vertical="center" wrapText="1"/>
    </xf>
    <xf numFmtId="3" fontId="3" fillId="6" borderId="5" xfId="1" applyNumberFormat="1" applyFont="1" applyFill="1" applyBorder="1" applyAlignment="1" applyProtection="1">
      <alignment horizontal="center" vertical="center" wrapText="1"/>
    </xf>
    <xf numFmtId="3" fontId="3" fillId="6" borderId="6" xfId="1" applyNumberFormat="1" applyFont="1" applyFill="1" applyBorder="1" applyAlignment="1" applyProtection="1">
      <alignment horizontal="center" vertical="center" wrapText="1"/>
    </xf>
    <xf numFmtId="164" fontId="3" fillId="6" borderId="6" xfId="1" quotePrefix="1" applyNumberFormat="1" applyFont="1" applyFill="1" applyBorder="1" applyAlignment="1" applyProtection="1">
      <alignment horizontal="center" vertical="center" wrapText="1"/>
    </xf>
    <xf numFmtId="164" fontId="3" fillId="6" borderId="7" xfId="1" applyNumberFormat="1" applyFont="1" applyFill="1" applyBorder="1" applyAlignment="1" applyProtection="1">
      <alignment horizontal="center" vertical="center" wrapText="1"/>
    </xf>
    <xf numFmtId="164" fontId="3" fillId="6" borderId="5" xfId="1" applyNumberFormat="1" applyFont="1" applyFill="1" applyBorder="1" applyAlignment="1" applyProtection="1">
      <alignment horizontal="center" vertical="center" wrapText="1"/>
    </xf>
    <xf numFmtId="164" fontId="3" fillId="2" borderId="8" xfId="1" quotePrefix="1" applyNumberFormat="1" applyFont="1" applyFill="1" applyBorder="1" applyAlignment="1" applyProtection="1">
      <alignment horizontal="center" vertical="center" wrapText="1"/>
    </xf>
    <xf numFmtId="3" fontId="3" fillId="6" borderId="9" xfId="1" applyNumberFormat="1" applyFont="1" applyFill="1" applyBorder="1" applyAlignment="1" applyProtection="1">
      <alignment horizontal="center" vertical="center" wrapText="1"/>
    </xf>
    <xf numFmtId="3" fontId="3" fillId="6" borderId="0" xfId="1" applyNumberFormat="1" applyFont="1" applyFill="1" applyBorder="1" applyAlignment="1" applyProtection="1">
      <alignment horizontal="center" vertical="center" wrapText="1"/>
    </xf>
    <xf numFmtId="3" fontId="3" fillId="6" borderId="8" xfId="1" applyNumberFormat="1" applyFont="1" applyFill="1" applyBorder="1" applyAlignment="1" applyProtection="1">
      <alignment horizontal="center" vertical="center" wrapText="1"/>
    </xf>
    <xf numFmtId="164" fontId="3" fillId="6" borderId="8" xfId="1" quotePrefix="1" applyNumberFormat="1" applyFont="1" applyFill="1" applyBorder="1" applyAlignment="1" applyProtection="1">
      <alignment horizontal="center" vertical="center" wrapText="1"/>
    </xf>
    <xf numFmtId="164" fontId="3" fillId="6" borderId="9" xfId="1" applyNumberFormat="1" applyFont="1" applyFill="1" applyBorder="1" applyAlignment="1" applyProtection="1">
      <alignment horizontal="center" vertical="center" wrapText="1"/>
    </xf>
    <xf numFmtId="164" fontId="3" fillId="6" borderId="0" xfId="1" applyNumberFormat="1" applyFont="1" applyFill="1" applyBorder="1" applyAlignment="1" applyProtection="1">
      <alignment horizontal="center" vertical="center" wrapText="1"/>
    </xf>
    <xf numFmtId="164" fontId="3" fillId="6" borderId="8" xfId="1" applyNumberFormat="1" applyFont="1" applyFill="1" applyBorder="1" applyAlignment="1" applyProtection="1">
      <alignment horizontal="center" vertical="center" wrapText="1"/>
    </xf>
    <xf numFmtId="0" fontId="7" fillId="7" borderId="10" xfId="1" applyFont="1" applyFill="1" applyBorder="1" applyAlignment="1" applyProtection="1">
      <alignment horizontal="center" vertical="center" wrapText="1"/>
    </xf>
    <xf numFmtId="3" fontId="3" fillId="7" borderId="10" xfId="1" applyNumberFormat="1" applyFont="1" applyFill="1" applyBorder="1" applyAlignment="1" applyProtection="1">
      <alignment horizontal="center" vertical="center" wrapText="1"/>
    </xf>
    <xf numFmtId="164" fontId="3" fillId="7" borderId="10" xfId="1" quotePrefix="1" applyNumberFormat="1" applyFont="1" applyFill="1" applyBorder="1" applyAlignment="1" applyProtection="1">
      <alignment horizontal="center" vertical="center" wrapText="1"/>
    </xf>
    <xf numFmtId="164" fontId="3" fillId="7" borderId="10" xfId="1" applyNumberFormat="1" applyFont="1" applyFill="1" applyBorder="1" applyAlignment="1" applyProtection="1">
      <alignment horizontal="center" vertical="center" wrapText="1"/>
    </xf>
    <xf numFmtId="165" fontId="4" fillId="2" borderId="0" xfId="1" applyNumberFormat="1" applyFont="1" applyFill="1" applyProtection="1"/>
    <xf numFmtId="0" fontId="4" fillId="2" borderId="0" xfId="1" applyFont="1" applyFill="1" applyAlignment="1" applyProtection="1">
      <alignment horizontal="left"/>
    </xf>
    <xf numFmtId="166" fontId="6" fillId="5" borderId="0" xfId="1" applyNumberFormat="1" applyFont="1" applyFill="1" applyBorder="1" applyAlignment="1" applyProtection="1">
      <alignment horizontal="center" vertical="center" wrapText="1"/>
    </xf>
    <xf numFmtId="166" fontId="6" fillId="3" borderId="0" xfId="1" applyNumberFormat="1" applyFont="1" applyFill="1" applyBorder="1" applyAlignment="1" applyProtection="1">
      <alignment horizontal="center" vertical="center" wrapText="1"/>
    </xf>
    <xf numFmtId="0" fontId="7" fillId="2" borderId="15" xfId="1" applyFont="1" applyFill="1" applyBorder="1" applyAlignment="1">
      <alignment horizontal="left" vertical="center"/>
    </xf>
    <xf numFmtId="0" fontId="7" fillId="2" borderId="13" xfId="1" applyFont="1" applyFill="1" applyBorder="1" applyAlignment="1">
      <alignment horizontal="left" vertical="center"/>
    </xf>
    <xf numFmtId="0" fontId="7" fillId="2" borderId="14" xfId="1" applyFont="1" applyFill="1" applyBorder="1" applyAlignment="1">
      <alignment horizontal="left" vertical="center"/>
    </xf>
    <xf numFmtId="0" fontId="7" fillId="2" borderId="15" xfId="1" applyFont="1" applyFill="1" applyBorder="1" applyAlignment="1" applyProtection="1">
      <alignment horizontal="left" vertical="center" wrapText="1"/>
    </xf>
    <xf numFmtId="0" fontId="7" fillId="2" borderId="13" xfId="1" applyFont="1" applyFill="1" applyBorder="1" applyAlignment="1" applyProtection="1">
      <alignment horizontal="left" vertical="center" wrapText="1"/>
    </xf>
    <xf numFmtId="0" fontId="7" fillId="2" borderId="14" xfId="1" applyFont="1" applyFill="1" applyBorder="1" applyAlignment="1" applyProtection="1">
      <alignment horizontal="left" vertical="center" wrapText="1"/>
    </xf>
    <xf numFmtId="0" fontId="7" fillId="2" borderId="13" xfId="1" applyFont="1" applyFill="1" applyBorder="1" applyAlignment="1">
      <alignment horizontal="left" vertical="top" wrapText="1"/>
    </xf>
    <xf numFmtId="49" fontId="2" fillId="3" borderId="13" xfId="1" applyNumberFormat="1" applyFont="1" applyFill="1" applyBorder="1" applyAlignment="1" applyProtection="1">
      <alignment horizontal="center" vertical="center" wrapText="1"/>
    </xf>
    <xf numFmtId="164" fontId="5" fillId="3" borderId="13" xfId="1" applyNumberFormat="1" applyFont="1" applyFill="1" applyBorder="1" applyAlignment="1" applyProtection="1">
      <alignment horizontal="center" vertical="center" wrapText="1"/>
    </xf>
    <xf numFmtId="164" fontId="2" fillId="3" borderId="13" xfId="1" applyNumberFormat="1" applyFont="1" applyFill="1" applyBorder="1" applyAlignment="1" applyProtection="1">
      <alignment horizontal="center" vertical="center" wrapText="1"/>
    </xf>
    <xf numFmtId="164" fontId="2" fillId="3" borderId="14" xfId="1" applyNumberFormat="1" applyFont="1" applyFill="1" applyBorder="1" applyAlignment="1" applyProtection="1">
      <alignment horizontal="center" vertical="center" wrapText="1"/>
    </xf>
    <xf numFmtId="0" fontId="7" fillId="4" borderId="2" xfId="1" applyFont="1" applyFill="1" applyBorder="1" applyAlignment="1" applyProtection="1">
      <alignment horizontal="center" vertical="center" wrapText="1"/>
    </xf>
    <xf numFmtId="0" fontId="7" fillId="4" borderId="10" xfId="1" applyFont="1" applyFill="1" applyBorder="1" applyAlignment="1" applyProtection="1">
      <alignment horizontal="center" vertical="center" wrapText="1"/>
    </xf>
    <xf numFmtId="0" fontId="7" fillId="4" borderId="15" xfId="1" applyFont="1" applyFill="1" applyBorder="1" applyAlignment="1" applyProtection="1">
      <alignment horizontal="center" vertical="center" wrapText="1"/>
    </xf>
    <xf numFmtId="0" fontId="7" fillId="4" borderId="13" xfId="1" applyFont="1" applyFill="1" applyBorder="1" applyAlignment="1" applyProtection="1">
      <alignment horizontal="center" vertical="center" wrapText="1"/>
    </xf>
    <xf numFmtId="0" fontId="7" fillId="4" borderId="14" xfId="1" applyFont="1" applyFill="1" applyBorder="1" applyAlignment="1" applyProtection="1">
      <alignment horizontal="center" vertical="center" wrapText="1"/>
    </xf>
    <xf numFmtId="0" fontId="7" fillId="4" borderId="2" xfId="1" applyFont="1" applyFill="1" applyBorder="1" applyAlignment="1" applyProtection="1">
      <alignment horizontal="center" vertical="center" textRotation="90" wrapText="1"/>
    </xf>
    <xf numFmtId="0" fontId="7" fillId="4" borderId="10" xfId="1" applyFont="1" applyFill="1" applyBorder="1" applyAlignment="1" applyProtection="1">
      <alignment horizontal="center" vertical="center" textRotation="90" wrapText="1"/>
    </xf>
    <xf numFmtId="0" fontId="7" fillId="2" borderId="15" xfId="1" applyFont="1" applyFill="1" applyBorder="1" applyAlignment="1">
      <alignment horizontal="left" vertical="top" wrapText="1"/>
    </xf>
    <xf numFmtId="0" fontId="7" fillId="2" borderId="13" xfId="1" applyFont="1" applyFill="1" applyBorder="1" applyAlignment="1">
      <alignment horizontal="left" vertical="top"/>
    </xf>
    <xf numFmtId="0" fontId="7" fillId="2" borderId="14" xfId="1" applyFont="1" applyFill="1" applyBorder="1" applyAlignment="1">
      <alignment horizontal="left" vertical="top"/>
    </xf>
    <xf numFmtId="49" fontId="2" fillId="6" borderId="13" xfId="1" applyNumberFormat="1" applyFont="1" applyFill="1" applyBorder="1" applyAlignment="1" applyProtection="1">
      <alignment horizontal="center" vertical="center" wrapText="1"/>
    </xf>
    <xf numFmtId="3" fontId="8" fillId="6" borderId="13" xfId="1" applyNumberFormat="1" applyFont="1" applyFill="1" applyBorder="1" applyAlignment="1" applyProtection="1">
      <alignment horizontal="center" vertical="center" wrapText="1"/>
    </xf>
    <xf numFmtId="3" fontId="2" fillId="6" borderId="13" xfId="1" applyNumberFormat="1" applyFont="1" applyFill="1" applyBorder="1" applyAlignment="1" applyProtection="1">
      <alignment horizontal="center" vertical="center" wrapText="1"/>
    </xf>
    <xf numFmtId="0" fontId="7" fillId="7" borderId="2" xfId="1" applyFont="1" applyFill="1" applyBorder="1" applyAlignment="1" applyProtection="1">
      <alignment horizontal="center" vertical="center" wrapText="1"/>
    </xf>
    <xf numFmtId="0" fontId="7" fillId="7" borderId="10" xfId="1" applyFont="1" applyFill="1" applyBorder="1" applyAlignment="1" applyProtection="1">
      <alignment horizontal="center" vertical="center" wrapText="1"/>
    </xf>
    <xf numFmtId="0" fontId="7" fillId="7" borderId="15" xfId="1" applyFont="1" applyFill="1" applyBorder="1" applyAlignment="1" applyProtection="1">
      <alignment horizontal="center" vertical="center" wrapText="1"/>
    </xf>
    <xf numFmtId="0" fontId="7" fillId="7" borderId="13" xfId="1" applyFont="1" applyFill="1" applyBorder="1" applyAlignment="1" applyProtection="1">
      <alignment horizontal="center" vertical="center" wrapText="1"/>
    </xf>
    <xf numFmtId="0" fontId="7" fillId="7" borderId="14" xfId="1" applyFont="1" applyFill="1" applyBorder="1" applyAlignment="1" applyProtection="1">
      <alignment horizontal="center" vertical="center" wrapText="1"/>
    </xf>
    <xf numFmtId="0" fontId="7" fillId="7" borderId="2" xfId="1" applyFont="1" applyFill="1" applyBorder="1" applyAlignment="1" applyProtection="1">
      <alignment horizontal="center" vertical="center" textRotation="90" wrapText="1"/>
    </xf>
    <xf numFmtId="0" fontId="7" fillId="7" borderId="10" xfId="1" applyFont="1" applyFill="1" applyBorder="1" applyAlignment="1" applyProtection="1">
      <alignment horizontal="center" vertical="center" textRotation="90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ti/Desktop/Nitin%20DGCA/Form%20A/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PivotTable"/>
      <sheetName val="Interface"/>
      <sheetName val="Data"/>
      <sheetName val="Sheet2"/>
      <sheetName val="Monthly_Template"/>
      <sheetName val="Sheet15"/>
      <sheetName val="DOMESTIC"/>
      <sheetName val="INTERNATIONAL"/>
    </sheetNames>
    <sheetDataSet>
      <sheetData sheetId="0"/>
      <sheetData sheetId="1"/>
      <sheetData sheetId="2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25" transitionEvaluation="1" transitionEntry="1" codeName="Sheet12"/>
  <dimension ref="A1:Q457"/>
  <sheetViews>
    <sheetView showGridLines="0" tabSelected="1" view="pageBreakPreview" topLeftCell="A25" zoomScale="85" zoomScaleNormal="85" zoomScaleSheetLayoutView="85" workbookViewId="0">
      <selection activeCell="J33" sqref="J33"/>
    </sheetView>
  </sheetViews>
  <sheetFormatPr defaultColWidth="9.7109375" defaultRowHeight="18.75" x14ac:dyDescent="0.3"/>
  <cols>
    <col min="1" max="1" width="10.42578125" style="1" customWidth="1"/>
    <col min="2" max="2" width="9.7109375" style="1" bestFit="1" customWidth="1"/>
    <col min="3" max="3" width="10.28515625" style="1" customWidth="1"/>
    <col min="4" max="4" width="10.85546875" style="1" customWidth="1"/>
    <col min="5" max="5" width="12.7109375" style="1" customWidth="1"/>
    <col min="6" max="6" width="12.42578125" style="1" customWidth="1"/>
    <col min="7" max="7" width="13.140625" style="1" customWidth="1"/>
    <col min="8" max="8" width="6.7109375" style="1" customWidth="1"/>
    <col min="9" max="9" width="11.28515625" style="1" bestFit="1" customWidth="1"/>
    <col min="10" max="10" width="9.42578125" style="1" bestFit="1" customWidth="1"/>
    <col min="11" max="11" width="11.28515625" style="1" bestFit="1" customWidth="1"/>
    <col min="12" max="12" width="12.85546875" style="1" bestFit="1" customWidth="1"/>
    <col min="13" max="13" width="13.42578125" style="1" bestFit="1" customWidth="1"/>
    <col min="14" max="14" width="9.140625" style="1" customWidth="1"/>
    <col min="15" max="15" width="12.85546875" style="1" bestFit="1" customWidth="1"/>
    <col min="16" max="16" width="14.85546875" style="1" customWidth="1"/>
    <col min="17" max="17" width="6.7109375" style="1" customWidth="1"/>
    <col min="18" max="16384" width="9.7109375" style="1"/>
  </cols>
  <sheetData>
    <row r="1" spans="1:17" ht="46.5" customHeight="1" x14ac:dyDescent="0.3">
      <c r="A1" s="80">
        <v>2024</v>
      </c>
      <c r="B1" s="80"/>
      <c r="C1" s="81" t="s">
        <v>36</v>
      </c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2"/>
      <c r="P1" s="82"/>
      <c r="Q1" s="83"/>
    </row>
    <row r="2" spans="1:17" ht="33" customHeight="1" x14ac:dyDescent="0.3">
      <c r="A2" s="84" t="s">
        <v>0</v>
      </c>
      <c r="B2" s="86" t="s">
        <v>1</v>
      </c>
      <c r="C2" s="87"/>
      <c r="D2" s="88"/>
      <c r="E2" s="89" t="s">
        <v>2</v>
      </c>
      <c r="F2" s="89" t="s">
        <v>3</v>
      </c>
      <c r="G2" s="89" t="s">
        <v>4</v>
      </c>
      <c r="H2" s="89" t="s">
        <v>5</v>
      </c>
      <c r="I2" s="86" t="s">
        <v>6</v>
      </c>
      <c r="J2" s="87"/>
      <c r="K2" s="88"/>
      <c r="L2" s="86" t="s">
        <v>7</v>
      </c>
      <c r="M2" s="87"/>
      <c r="N2" s="87"/>
      <c r="O2" s="88"/>
      <c r="P2" s="89" t="s">
        <v>8</v>
      </c>
      <c r="Q2" s="89" t="s">
        <v>9</v>
      </c>
    </row>
    <row r="3" spans="1:17" ht="155.25" customHeight="1" x14ac:dyDescent="0.3">
      <c r="A3" s="85"/>
      <c r="B3" s="4" t="s">
        <v>10</v>
      </c>
      <c r="C3" s="4" t="s">
        <v>11</v>
      </c>
      <c r="D3" s="4" t="s">
        <v>12</v>
      </c>
      <c r="E3" s="90"/>
      <c r="F3" s="90"/>
      <c r="G3" s="90"/>
      <c r="H3" s="90"/>
      <c r="I3" s="4" t="s">
        <v>13</v>
      </c>
      <c r="J3" s="5" t="s">
        <v>14</v>
      </c>
      <c r="K3" s="4" t="s">
        <v>15</v>
      </c>
      <c r="L3" s="6" t="s">
        <v>16</v>
      </c>
      <c r="M3" s="6" t="s">
        <v>17</v>
      </c>
      <c r="N3" s="6" t="s">
        <v>18</v>
      </c>
      <c r="O3" s="6" t="s">
        <v>19</v>
      </c>
      <c r="P3" s="90"/>
      <c r="Q3" s="90"/>
    </row>
    <row r="4" spans="1:17" ht="23.1" customHeight="1" x14ac:dyDescent="0.3">
      <c r="A4" s="7" t="s">
        <v>20</v>
      </c>
      <c r="B4" s="8">
        <v>15816</v>
      </c>
      <c r="C4" s="9">
        <v>74001.133333333331</v>
      </c>
      <c r="D4" s="10">
        <v>51277.781000000003</v>
      </c>
      <c r="E4" s="8">
        <v>2729843</v>
      </c>
      <c r="F4" s="9">
        <v>9830473.1649999991</v>
      </c>
      <c r="G4" s="9">
        <v>11312489.07</v>
      </c>
      <c r="H4" s="11">
        <f t="shared" ref="H4:H14" si="0">IFERROR(F4/G4*100," ")</f>
        <v>86.899294259384405</v>
      </c>
      <c r="I4" s="12">
        <v>18742.322029999999</v>
      </c>
      <c r="J4" s="12">
        <v>321.81533439056375</v>
      </c>
      <c r="K4" s="12">
        <f t="shared" ref="K4:K14" si="1">IF(AND(ISBLANK(I4),ISBLANK(J4))=TRUE,"",I4+J4)</f>
        <v>19064.137364390564</v>
      </c>
      <c r="L4" s="13">
        <v>931474.79316300014</v>
      </c>
      <c r="M4" s="12">
        <v>87475.719260188809</v>
      </c>
      <c r="N4" s="12">
        <v>2481.113484146686</v>
      </c>
      <c r="O4" s="14">
        <f t="shared" ref="O4:O14" si="2">IF(AND(ISBLANK(L4),ISBLANK(M4),ISBLANK(N4))=TRUE,"",L4+M4+N4)</f>
        <v>1021431.6259073355</v>
      </c>
      <c r="P4" s="13">
        <v>1402150.8530459995</v>
      </c>
      <c r="Q4" s="14">
        <f t="shared" ref="Q4:Q14" si="3">IFERROR(O4/P4*100," ")</f>
        <v>72.847484540511559</v>
      </c>
    </row>
    <row r="5" spans="1:17" ht="23.1" customHeight="1" x14ac:dyDescent="0.3">
      <c r="A5" s="15" t="s">
        <v>21</v>
      </c>
      <c r="B5" s="16">
        <v>14822</v>
      </c>
      <c r="C5" s="15">
        <v>64584.583333333343</v>
      </c>
      <c r="D5" s="17">
        <v>48141.235000000001</v>
      </c>
      <c r="E5" s="16">
        <v>2544506</v>
      </c>
      <c r="F5" s="15">
        <v>9180788.0199999996</v>
      </c>
      <c r="G5" s="15">
        <v>10619686.135000002</v>
      </c>
      <c r="H5" s="18">
        <f t="shared" ref="H5" si="4">IFERROR(F5/G5*100," ")</f>
        <v>86.450653091735646</v>
      </c>
      <c r="I5" s="19">
        <v>22049.071170000003</v>
      </c>
      <c r="J5" s="19">
        <v>286.57831074465673</v>
      </c>
      <c r="K5" s="19">
        <f t="shared" ref="K5" si="5">IF(AND(ISBLANK(I5),ISBLANK(J5))=TRUE,"",I5+J5)</f>
        <v>22335.649480744658</v>
      </c>
      <c r="L5" s="20">
        <v>871438.97933699982</v>
      </c>
      <c r="M5" s="19">
        <v>99353.785299298877</v>
      </c>
      <c r="N5" s="19">
        <v>2139.7898784279828</v>
      </c>
      <c r="O5" s="18">
        <f t="shared" ref="O5" si="6">IF(AND(ISBLANK(L5),ISBLANK(M5),ISBLANK(N5))=TRUE,"",L5+M5+N5)</f>
        <v>972932.55451472662</v>
      </c>
      <c r="P5" s="20">
        <v>1322782.6613559991</v>
      </c>
      <c r="Q5" s="18">
        <f t="shared" ref="Q5" si="7">IFERROR(O5/P5*100," ")</f>
        <v>73.551958529405184</v>
      </c>
    </row>
    <row r="6" spans="1:17" ht="23.1" customHeight="1" x14ac:dyDescent="0.3">
      <c r="A6" s="7" t="s">
        <v>22</v>
      </c>
      <c r="B6" s="21">
        <v>16133</v>
      </c>
      <c r="C6" s="7">
        <v>75198.133333333302</v>
      </c>
      <c r="D6" s="22">
        <v>52355.598000000005</v>
      </c>
      <c r="E6" s="21">
        <v>2675807</v>
      </c>
      <c r="F6" s="7">
        <v>9763938.0460000001</v>
      </c>
      <c r="G6" s="7">
        <v>11587659.987999998</v>
      </c>
      <c r="H6" s="11">
        <f t="shared" si="0"/>
        <v>84.261516614324066</v>
      </c>
      <c r="I6" s="23">
        <v>23852.886549999996</v>
      </c>
      <c r="J6" s="23">
        <v>274.14824851176286</v>
      </c>
      <c r="K6" s="23">
        <f t="shared" si="1"/>
        <v>24127.034798511759</v>
      </c>
      <c r="L6" s="24">
        <v>926071.15389800037</v>
      </c>
      <c r="M6" s="23">
        <v>111631.84859536878</v>
      </c>
      <c r="N6" s="23">
        <v>2349.1199539387449</v>
      </c>
      <c r="O6" s="11">
        <f t="shared" si="2"/>
        <v>1040052.1224473079</v>
      </c>
      <c r="P6" s="24">
        <v>1442588.9941089954</v>
      </c>
      <c r="Q6" s="11">
        <f t="shared" si="3"/>
        <v>72.096219137571367</v>
      </c>
    </row>
    <row r="7" spans="1:17" ht="23.1" customHeight="1" x14ac:dyDescent="0.3">
      <c r="A7" s="15" t="s">
        <v>23</v>
      </c>
      <c r="B7" s="16">
        <v>15330</v>
      </c>
      <c r="C7" s="15">
        <v>69526.212963333324</v>
      </c>
      <c r="D7" s="17">
        <v>50204.555999999997</v>
      </c>
      <c r="E7" s="16">
        <v>2566770</v>
      </c>
      <c r="F7" s="15">
        <v>9219316.3690000009</v>
      </c>
      <c r="G7" s="15">
        <v>11044698.239</v>
      </c>
      <c r="H7" s="18">
        <f t="shared" si="0"/>
        <v>83.472777340766243</v>
      </c>
      <c r="I7" s="19">
        <v>21796.401529999992</v>
      </c>
      <c r="J7" s="19">
        <v>226.92536872500006</v>
      </c>
      <c r="K7" s="71">
        <f t="shared" si="1"/>
        <v>22023.32689872499</v>
      </c>
      <c r="L7" s="20">
        <v>843193.7372450009</v>
      </c>
      <c r="M7" s="19">
        <v>94736.530651528854</v>
      </c>
      <c r="N7" s="19">
        <v>1936.7021390259802</v>
      </c>
      <c r="O7" s="18">
        <f t="shared" si="2"/>
        <v>939866.97003555577</v>
      </c>
      <c r="P7" s="20">
        <v>1369590.1790609998</v>
      </c>
      <c r="Q7" s="18">
        <f t="shared" si="3"/>
        <v>68.623956596997132</v>
      </c>
    </row>
    <row r="8" spans="1:17" s="2" customFormat="1" ht="30" customHeight="1" x14ac:dyDescent="0.25">
      <c r="A8" s="7" t="s">
        <v>24</v>
      </c>
      <c r="B8" s="21">
        <v>16023</v>
      </c>
      <c r="C8" s="7">
        <v>74045.967999999993</v>
      </c>
      <c r="D8" s="22">
        <v>52152.698999999993</v>
      </c>
      <c r="E8" s="21">
        <v>2580637</v>
      </c>
      <c r="F8" s="7">
        <v>9953095.1070000008</v>
      </c>
      <c r="G8" s="7">
        <v>11628860.033000004</v>
      </c>
      <c r="H8" s="11">
        <f t="shared" si="0"/>
        <v>85.589602753455011</v>
      </c>
      <c r="I8" s="23">
        <v>22817.969159999997</v>
      </c>
      <c r="J8" s="23">
        <v>216.92397053975978</v>
      </c>
      <c r="K8" s="72">
        <f t="shared" si="1"/>
        <v>23034.893130539756</v>
      </c>
      <c r="L8" s="24">
        <v>930464.719209</v>
      </c>
      <c r="M8" s="23">
        <v>114920.63631273995</v>
      </c>
      <c r="N8" s="23">
        <v>1787.7990024392291</v>
      </c>
      <c r="O8" s="11">
        <f t="shared" si="2"/>
        <v>1047173.1545241792</v>
      </c>
      <c r="P8" s="24">
        <v>1436751.9911769996</v>
      </c>
      <c r="Q8" s="11">
        <f t="shared" si="3"/>
        <v>72.884754011464835</v>
      </c>
    </row>
    <row r="9" spans="1:17" ht="23.1" customHeight="1" x14ac:dyDescent="0.3">
      <c r="A9" s="15" t="s">
        <v>25</v>
      </c>
      <c r="B9" s="16">
        <v>16405</v>
      </c>
      <c r="C9" s="15">
        <v>75711.762333333332</v>
      </c>
      <c r="D9" s="17">
        <v>52462.083000000006</v>
      </c>
      <c r="E9" s="16">
        <v>2711650</v>
      </c>
      <c r="F9" s="15">
        <v>9851537.6889999993</v>
      </c>
      <c r="G9" s="15">
        <v>11816399.773000002</v>
      </c>
      <c r="H9" s="18">
        <f t="shared" si="0"/>
        <v>83.371736554736131</v>
      </c>
      <c r="I9" s="19">
        <v>24326.631310000008</v>
      </c>
      <c r="J9" s="19">
        <v>215.11743067994377</v>
      </c>
      <c r="K9" s="71">
        <f t="shared" si="1"/>
        <v>24541.748740679952</v>
      </c>
      <c r="L9" s="20">
        <v>911841.87741500069</v>
      </c>
      <c r="M9" s="19">
        <v>122478.16469990995</v>
      </c>
      <c r="N9" s="19">
        <v>1648.6045498738144</v>
      </c>
      <c r="O9" s="18">
        <f t="shared" si="2"/>
        <v>1035968.6466647845</v>
      </c>
      <c r="P9" s="20">
        <v>1388993.0839900011</v>
      </c>
      <c r="Q9" s="18">
        <f t="shared" si="3"/>
        <v>74.584147221876449</v>
      </c>
    </row>
    <row r="10" spans="1:17" ht="23.1" customHeight="1" x14ac:dyDescent="0.3">
      <c r="A10" s="7" t="s">
        <v>26</v>
      </c>
      <c r="B10" s="21">
        <v>17187</v>
      </c>
      <c r="C10" s="7">
        <v>79090.963333333348</v>
      </c>
      <c r="D10" s="22">
        <v>55820.262999999999</v>
      </c>
      <c r="E10" s="21">
        <v>2763666</v>
      </c>
      <c r="F10" s="7">
        <v>10033781.455</v>
      </c>
      <c r="G10" s="7">
        <v>12342887.965000002</v>
      </c>
      <c r="H10" s="11">
        <f t="shared" si="0"/>
        <v>81.292007862764379</v>
      </c>
      <c r="I10" s="23">
        <v>24811.096120000002</v>
      </c>
      <c r="J10" s="23">
        <v>163.08269788671674</v>
      </c>
      <c r="K10" s="72">
        <f t="shared" si="1"/>
        <v>24974.178817886717</v>
      </c>
      <c r="L10" s="24">
        <v>934730.31862499961</v>
      </c>
      <c r="M10" s="23">
        <v>124260.62800289024</v>
      </c>
      <c r="N10" s="23">
        <v>1081.1762939066555</v>
      </c>
      <c r="O10" s="11">
        <f t="shared" si="2"/>
        <v>1060072.1229217965</v>
      </c>
      <c r="P10" s="24">
        <v>1484272.0015350012</v>
      </c>
      <c r="Q10" s="11">
        <f t="shared" si="3"/>
        <v>71.420340869159659</v>
      </c>
    </row>
    <row r="11" spans="1:17" ht="23.1" customHeight="1" x14ac:dyDescent="0.3">
      <c r="A11" s="15" t="s">
        <v>27</v>
      </c>
      <c r="B11" s="16">
        <v>17580</v>
      </c>
      <c r="C11" s="15">
        <v>79503.806266666696</v>
      </c>
      <c r="D11" s="17">
        <v>56878.543000000012</v>
      </c>
      <c r="E11" s="16">
        <v>2779337</v>
      </c>
      <c r="F11" s="15">
        <v>10126185.073000001</v>
      </c>
      <c r="G11" s="15">
        <v>12489641.902000001</v>
      </c>
      <c r="H11" s="19">
        <f t="shared" si="0"/>
        <v>81.076664586984421</v>
      </c>
      <c r="I11" s="20">
        <v>24266.890819999993</v>
      </c>
      <c r="J11" s="19">
        <v>168.63969342981397</v>
      </c>
      <c r="K11" s="71">
        <f t="shared" si="1"/>
        <v>24435.530513429807</v>
      </c>
      <c r="L11" s="20">
        <v>943919.90619200072</v>
      </c>
      <c r="M11" s="19">
        <v>122049.90000610013</v>
      </c>
      <c r="N11" s="19">
        <v>1062.8057308341483</v>
      </c>
      <c r="O11" s="19">
        <f t="shared" si="2"/>
        <v>1067032.6119289349</v>
      </c>
      <c r="P11" s="20">
        <v>1497730.0361079995</v>
      </c>
      <c r="Q11" s="18">
        <f t="shared" si="3"/>
        <v>71.243320638859942</v>
      </c>
    </row>
    <row r="12" spans="1:17" ht="23.1" customHeight="1" x14ac:dyDescent="0.3">
      <c r="A12" s="7" t="s">
        <v>28</v>
      </c>
      <c r="B12" s="21">
        <v>17279</v>
      </c>
      <c r="C12" s="7">
        <v>77581.084999999992</v>
      </c>
      <c r="D12" s="22">
        <v>56115.802000000011</v>
      </c>
      <c r="E12" s="21">
        <v>2671124</v>
      </c>
      <c r="F12" s="7">
        <v>9811384.5810000002</v>
      </c>
      <c r="G12" s="7">
        <v>12343037.683000002</v>
      </c>
      <c r="H12" s="11">
        <f t="shared" si="0"/>
        <v>79.489221640416503</v>
      </c>
      <c r="I12" s="23">
        <v>26321.00288</v>
      </c>
      <c r="J12" s="23">
        <v>174.84963626598565</v>
      </c>
      <c r="K12" s="72">
        <f t="shared" si="1"/>
        <v>26495.852516265986</v>
      </c>
      <c r="L12" s="24">
        <v>956619.25192300114</v>
      </c>
      <c r="M12" s="23">
        <v>119672.48082654999</v>
      </c>
      <c r="N12" s="23">
        <v>1207.4740239798225</v>
      </c>
      <c r="O12" s="11">
        <f t="shared" si="2"/>
        <v>1077499.2067735309</v>
      </c>
      <c r="P12" s="24">
        <v>1397568.3787289993</v>
      </c>
      <c r="Q12" s="11">
        <f t="shared" si="3"/>
        <v>77.098138679514832</v>
      </c>
    </row>
    <row r="13" spans="1:17" ht="23.1" customHeight="1" x14ac:dyDescent="0.3">
      <c r="A13" s="15" t="s">
        <v>29</v>
      </c>
      <c r="B13" s="16">
        <v>17621</v>
      </c>
      <c r="C13" s="15">
        <v>78738.946999999956</v>
      </c>
      <c r="D13" s="17">
        <v>57549.421999999991</v>
      </c>
      <c r="E13" s="16">
        <v>2765194</v>
      </c>
      <c r="F13" s="15">
        <v>9966229.7169999983</v>
      </c>
      <c r="G13" s="15">
        <v>12763797.578000002</v>
      </c>
      <c r="H13" s="18">
        <f t="shared" si="0"/>
        <v>78.082010123523418</v>
      </c>
      <c r="I13" s="19">
        <v>22120.365140000009</v>
      </c>
      <c r="J13" s="19">
        <v>214.34225998390946</v>
      </c>
      <c r="K13" s="19">
        <f t="shared" si="1"/>
        <v>22334.707399983919</v>
      </c>
      <c r="L13" s="20">
        <v>962943.47421099991</v>
      </c>
      <c r="M13" s="19">
        <v>125459.86384492004</v>
      </c>
      <c r="N13" s="19">
        <v>1582.8907165441481</v>
      </c>
      <c r="O13" s="18">
        <f t="shared" si="2"/>
        <v>1089986.228772464</v>
      </c>
      <c r="P13" s="20">
        <v>1441857.551481999</v>
      </c>
      <c r="Q13" s="18">
        <f t="shared" si="3"/>
        <v>75.595971852568411</v>
      </c>
    </row>
    <row r="14" spans="1:17" ht="23.1" customHeight="1" x14ac:dyDescent="0.3">
      <c r="A14" s="7" t="s">
        <v>30</v>
      </c>
      <c r="B14" s="21">
        <v>16829</v>
      </c>
      <c r="C14" s="7">
        <v>75747.531333333391</v>
      </c>
      <c r="D14" s="22">
        <v>53104.462999999996</v>
      </c>
      <c r="E14" s="21">
        <v>2812305</v>
      </c>
      <c r="F14" s="7">
        <v>10120082.039999999</v>
      </c>
      <c r="G14" s="7">
        <v>12069105.673</v>
      </c>
      <c r="H14" s="11">
        <f t="shared" si="0"/>
        <v>83.851134576108691</v>
      </c>
      <c r="I14" s="23">
        <v>23479.663159999996</v>
      </c>
      <c r="J14" s="23">
        <v>171.29073441930205</v>
      </c>
      <c r="K14" s="23">
        <f t="shared" si="1"/>
        <v>23650.953894419297</v>
      </c>
      <c r="L14" s="24">
        <v>979874.49046600133</v>
      </c>
      <c r="M14" s="23">
        <v>108161.9589722699</v>
      </c>
      <c r="N14" s="23">
        <v>1298.0478221655144</v>
      </c>
      <c r="O14" s="11">
        <f t="shared" si="2"/>
        <v>1089334.4972604366</v>
      </c>
      <c r="P14" s="24">
        <v>1351146.7240609992</v>
      </c>
      <c r="Q14" s="11">
        <f t="shared" si="3"/>
        <v>80.622961064238737</v>
      </c>
    </row>
    <row r="15" spans="1:17" ht="23.1" customHeight="1" x14ac:dyDescent="0.3">
      <c r="A15" s="15" t="s">
        <v>31</v>
      </c>
      <c r="B15" s="25">
        <v>18324</v>
      </c>
      <c r="C15" s="26">
        <v>82783.609333333268</v>
      </c>
      <c r="D15" s="27">
        <v>59386.189199464774</v>
      </c>
      <c r="E15" s="25">
        <v>3051909</v>
      </c>
      <c r="F15" s="26">
        <v>10925652.624007754</v>
      </c>
      <c r="G15" s="26">
        <v>13069195.1591058</v>
      </c>
      <c r="H15" s="18">
        <f t="shared" ref="H15:H16" si="8">IFERROR(F15/G15*100," ")</f>
        <v>83.598511545643589</v>
      </c>
      <c r="I15" s="28">
        <v>26810.559519620532</v>
      </c>
      <c r="J15" s="28">
        <v>256.01145243357576</v>
      </c>
      <c r="K15" s="28">
        <f t="shared" ref="K15:K16" si="9">IF(AND(ISBLANK(I15),ISBLANK(J15))=TRUE,"",I15+J15)</f>
        <v>27066.570972054109</v>
      </c>
      <c r="L15" s="29">
        <v>1048541.261436164</v>
      </c>
      <c r="M15" s="28">
        <v>128065.05070191206</v>
      </c>
      <c r="N15" s="28">
        <v>1726.3273822082501</v>
      </c>
      <c r="O15" s="30">
        <f t="shared" ref="O15:O16" si="10">IF(AND(ISBLANK(L15),ISBLANK(M15),ISBLANK(N15))=TRUE,"",L15+M15+N15)</f>
        <v>1178332.6395202845</v>
      </c>
      <c r="P15" s="29">
        <v>1426631.1255992947</v>
      </c>
      <c r="Q15" s="30">
        <f t="shared" ref="Q15:Q16" si="11">IFERROR(O15/P15*100," ")</f>
        <v>82.595466927394725</v>
      </c>
    </row>
    <row r="16" spans="1:17" ht="23.1" customHeight="1" x14ac:dyDescent="0.3">
      <c r="A16" s="31" t="s">
        <v>32</v>
      </c>
      <c r="B16" s="32">
        <f t="shared" ref="B16:G16" si="12">SUM(B4:B15)</f>
        <v>199349</v>
      </c>
      <c r="C16" s="32">
        <f t="shared" si="12"/>
        <v>906513.73556333315</v>
      </c>
      <c r="D16" s="32">
        <f t="shared" si="12"/>
        <v>645448.63419946469</v>
      </c>
      <c r="E16" s="32">
        <f t="shared" si="12"/>
        <v>32652748</v>
      </c>
      <c r="F16" s="32">
        <f t="shared" si="12"/>
        <v>118782463.88600776</v>
      </c>
      <c r="G16" s="32">
        <f t="shared" si="12"/>
        <v>143087459.19810581</v>
      </c>
      <c r="H16" s="33">
        <f t="shared" si="8"/>
        <v>83.01388853481032</v>
      </c>
      <c r="I16" s="34">
        <f>SUM(I4:I15)</f>
        <v>281394.85938962054</v>
      </c>
      <c r="J16" s="34">
        <f>SUM(J4:J15)</f>
        <v>2689.725138010991</v>
      </c>
      <c r="K16" s="34">
        <f t="shared" si="9"/>
        <v>284084.58452763152</v>
      </c>
      <c r="L16" s="32">
        <f>SUM(L4:L15)</f>
        <v>11241113.963120168</v>
      </c>
      <c r="M16" s="32">
        <f>SUM(M4:M15)</f>
        <v>1358266.5671736775</v>
      </c>
      <c r="N16" s="34">
        <f>SUM(N4:N15)</f>
        <v>20301.850977490976</v>
      </c>
      <c r="O16" s="34">
        <f t="shared" si="10"/>
        <v>12619682.381271336</v>
      </c>
      <c r="P16" s="34">
        <f>SUM(P4:P15)</f>
        <v>16962063.580253288</v>
      </c>
      <c r="Q16" s="34">
        <f t="shared" si="11"/>
        <v>74.399452174927475</v>
      </c>
    </row>
    <row r="17" spans="1:17" ht="20.100000000000001" customHeight="1" x14ac:dyDescent="0.3">
      <c r="A17" s="76" t="s">
        <v>38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8"/>
    </row>
    <row r="18" spans="1:17" s="3" customFormat="1" x14ac:dyDescent="0.25">
      <c r="A18" s="73" t="s">
        <v>33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5"/>
    </row>
    <row r="19" spans="1:17" s="3" customFormat="1" x14ac:dyDescent="0.25">
      <c r="A19" s="73" t="s">
        <v>34</v>
      </c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5"/>
    </row>
    <row r="20" spans="1:17" s="3" customFormat="1" ht="33.75" customHeight="1" x14ac:dyDescent="0.25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</row>
    <row r="21" spans="1:17" ht="51.75" customHeight="1" x14ac:dyDescent="0.3">
      <c r="A21" s="94">
        <v>2024</v>
      </c>
      <c r="B21" s="94"/>
      <c r="C21" s="95" t="s">
        <v>37</v>
      </c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6"/>
      <c r="P21" s="96"/>
      <c r="Q21" s="96"/>
    </row>
    <row r="22" spans="1:17" ht="33" customHeight="1" x14ac:dyDescent="0.3">
      <c r="A22" s="97" t="s">
        <v>0</v>
      </c>
      <c r="B22" s="99" t="s">
        <v>1</v>
      </c>
      <c r="C22" s="100"/>
      <c r="D22" s="101"/>
      <c r="E22" s="102" t="s">
        <v>2</v>
      </c>
      <c r="F22" s="102" t="s">
        <v>3</v>
      </c>
      <c r="G22" s="102" t="s">
        <v>4</v>
      </c>
      <c r="H22" s="102" t="s">
        <v>5</v>
      </c>
      <c r="I22" s="99" t="s">
        <v>6</v>
      </c>
      <c r="J22" s="100"/>
      <c r="K22" s="101"/>
      <c r="L22" s="99" t="s">
        <v>7</v>
      </c>
      <c r="M22" s="100"/>
      <c r="N22" s="100"/>
      <c r="O22" s="101"/>
      <c r="P22" s="102" t="s">
        <v>8</v>
      </c>
      <c r="Q22" s="102" t="s">
        <v>9</v>
      </c>
    </row>
    <row r="23" spans="1:17" ht="150.75" customHeight="1" x14ac:dyDescent="0.3">
      <c r="A23" s="98"/>
      <c r="B23" s="48" t="s">
        <v>10</v>
      </c>
      <c r="C23" s="48" t="s">
        <v>11</v>
      </c>
      <c r="D23" s="48" t="s">
        <v>12</v>
      </c>
      <c r="E23" s="103"/>
      <c r="F23" s="103"/>
      <c r="G23" s="103"/>
      <c r="H23" s="103"/>
      <c r="I23" s="48" t="s">
        <v>13</v>
      </c>
      <c r="J23" s="49" t="s">
        <v>14</v>
      </c>
      <c r="K23" s="48" t="s">
        <v>15</v>
      </c>
      <c r="L23" s="48" t="s">
        <v>16</v>
      </c>
      <c r="M23" s="48" t="s">
        <v>17</v>
      </c>
      <c r="N23" s="48" t="s">
        <v>18</v>
      </c>
      <c r="O23" s="48" t="s">
        <v>19</v>
      </c>
      <c r="P23" s="103"/>
      <c r="Q23" s="103"/>
    </row>
    <row r="24" spans="1:17" ht="23.1" customHeight="1" x14ac:dyDescent="0.3">
      <c r="A24" s="50" t="s">
        <v>20</v>
      </c>
      <c r="B24" s="51">
        <v>168</v>
      </c>
      <c r="C24" s="52">
        <v>972.33333333333326</v>
      </c>
      <c r="D24" s="53">
        <v>314.57967281999998</v>
      </c>
      <c r="E24" s="51">
        <v>559</v>
      </c>
      <c r="F24" s="52">
        <v>1075.701</v>
      </c>
      <c r="G24" s="52">
        <v>1091.097</v>
      </c>
      <c r="H24" s="52">
        <f t="shared" ref="H24:H36" si="13">IFERROR(F24/G24*100," ")</f>
        <v>98.588943054558854</v>
      </c>
      <c r="I24" s="55">
        <v>1001.705235</v>
      </c>
      <c r="J24" s="56"/>
      <c r="K24" s="56">
        <f>IF(AND(ISBLANK(I24),ISBLANK(J24))=TRUE,"",I24+J24)</f>
        <v>1001.705235</v>
      </c>
      <c r="L24" s="51">
        <v>80.67757499999999</v>
      </c>
      <c r="M24" s="52">
        <v>1618.2515549699999</v>
      </c>
      <c r="N24" s="56"/>
      <c r="O24" s="53">
        <f t="shared" ref="O24:O35" si="14">IF(AND(ISBLANK(L24),ISBLANK(M24),ISBLANK(N24))=TRUE,"",L24+M24+N24)</f>
        <v>1698.9291299699998</v>
      </c>
      <c r="P24" s="52">
        <v>6471.4078059999993</v>
      </c>
      <c r="Q24" s="54">
        <f>IFERROR(O24/P24*100," ")</f>
        <v>26.252852252562864</v>
      </c>
    </row>
    <row r="25" spans="1:17" ht="23.1" customHeight="1" x14ac:dyDescent="0.3">
      <c r="A25" s="35" t="s">
        <v>21</v>
      </c>
      <c r="B25" s="37">
        <v>154</v>
      </c>
      <c r="C25" s="38">
        <v>511.3</v>
      </c>
      <c r="D25" s="41">
        <v>276.14819999999997</v>
      </c>
      <c r="E25" s="37">
        <v>1414</v>
      </c>
      <c r="F25" s="38">
        <v>3611.3560000000002</v>
      </c>
      <c r="G25" s="38">
        <v>3853.9859999999999</v>
      </c>
      <c r="H25" s="38">
        <f t="shared" si="13"/>
        <v>93.704440026507626</v>
      </c>
      <c r="I25" s="39">
        <v>1164.0820200000003</v>
      </c>
      <c r="J25" s="40"/>
      <c r="K25" s="40">
        <f t="shared" ref="K25:K35" si="15">IF(AND(ISBLANK(I25),ISBLANK(J25))=TRUE,"",I25+J25)</f>
        <v>1164.0820200000003</v>
      </c>
      <c r="L25" s="37">
        <v>270.85169999999999</v>
      </c>
      <c r="M25" s="38">
        <v>1754.5108680799999</v>
      </c>
      <c r="N25" s="40"/>
      <c r="O25" s="41">
        <f t="shared" si="14"/>
        <v>2025.3625680799998</v>
      </c>
      <c r="P25" s="38">
        <v>5831.893</v>
      </c>
      <c r="Q25" s="57">
        <f t="shared" ref="Q25:Q35" si="16">IFERROR(O25/P25*100," ")</f>
        <v>34.729076272146962</v>
      </c>
    </row>
    <row r="26" spans="1:17" ht="23.1" customHeight="1" x14ac:dyDescent="0.3">
      <c r="A26" s="50" t="s">
        <v>22</v>
      </c>
      <c r="B26" s="58">
        <v>266</v>
      </c>
      <c r="C26" s="59">
        <v>902.7833333333333</v>
      </c>
      <c r="D26" s="60">
        <v>479.5059</v>
      </c>
      <c r="E26" s="58">
        <v>0</v>
      </c>
      <c r="F26" s="59">
        <v>0</v>
      </c>
      <c r="G26" s="59">
        <v>0</v>
      </c>
      <c r="H26" s="52" t="str">
        <f t="shared" si="13"/>
        <v xml:space="preserve"> </v>
      </c>
      <c r="I26" s="62">
        <v>2883.9949299999998</v>
      </c>
      <c r="J26" s="63"/>
      <c r="K26" s="63">
        <f t="shared" si="15"/>
        <v>2883.9949299999998</v>
      </c>
      <c r="L26" s="58">
        <v>0</v>
      </c>
      <c r="M26" s="59">
        <v>5004.5540235900007</v>
      </c>
      <c r="N26" s="63"/>
      <c r="O26" s="60">
        <f>IF(AND(ISBLANK(L26),ISBLANK(M26),ISBLANK(N26))=TRUE,"",L26+M26+N26)</f>
        <v>5004.5540235900007</v>
      </c>
      <c r="P26" s="59">
        <v>10263.359</v>
      </c>
      <c r="Q26" s="61">
        <f t="shared" si="16"/>
        <v>48.761365782781255</v>
      </c>
    </row>
    <row r="27" spans="1:17" ht="23.1" customHeight="1" x14ac:dyDescent="0.3">
      <c r="A27" s="35" t="s">
        <v>23</v>
      </c>
      <c r="B27" s="37">
        <v>224</v>
      </c>
      <c r="C27" s="38">
        <v>857.83330000000001</v>
      </c>
      <c r="D27" s="41">
        <v>455.78460000000001</v>
      </c>
      <c r="E27" s="37">
        <v>0</v>
      </c>
      <c r="F27" s="38">
        <v>0</v>
      </c>
      <c r="G27" s="38">
        <v>0</v>
      </c>
      <c r="H27" s="38" t="str">
        <f t="shared" si="13"/>
        <v xml:space="preserve"> </v>
      </c>
      <c r="I27" s="39">
        <v>2049.9192899999998</v>
      </c>
      <c r="J27" s="40"/>
      <c r="K27" s="40">
        <f t="shared" si="15"/>
        <v>2049.9192899999998</v>
      </c>
      <c r="L27" s="37">
        <v>0</v>
      </c>
      <c r="M27" s="38">
        <v>4247.5967554399995</v>
      </c>
      <c r="N27" s="40"/>
      <c r="O27" s="41">
        <f t="shared" si="14"/>
        <v>4247.5967554399995</v>
      </c>
      <c r="P27" s="38">
        <v>7879.442</v>
      </c>
      <c r="Q27" s="57">
        <f t="shared" si="16"/>
        <v>53.907329420535099</v>
      </c>
    </row>
    <row r="28" spans="1:17" s="2" customFormat="1" ht="30" customHeight="1" x14ac:dyDescent="0.25">
      <c r="A28" s="50" t="s">
        <v>24</v>
      </c>
      <c r="B28" s="58">
        <v>226</v>
      </c>
      <c r="C28" s="59">
        <v>961.55</v>
      </c>
      <c r="D28" s="60">
        <v>570.55449999999996</v>
      </c>
      <c r="E28" s="58">
        <v>12242</v>
      </c>
      <c r="F28" s="59">
        <v>51615.133000000002</v>
      </c>
      <c r="G28" s="59">
        <v>54170.991000000002</v>
      </c>
      <c r="H28" s="52">
        <f t="shared" si="13"/>
        <v>95.281869589574242</v>
      </c>
      <c r="I28" s="62">
        <v>1876.9859650000003</v>
      </c>
      <c r="J28" s="63"/>
      <c r="K28" s="63">
        <f t="shared" si="15"/>
        <v>1876.9859650000003</v>
      </c>
      <c r="L28" s="58">
        <v>3871.1349749999999</v>
      </c>
      <c r="M28" s="59">
        <v>3855.7806444499997</v>
      </c>
      <c r="N28" s="63"/>
      <c r="O28" s="60">
        <f t="shared" si="14"/>
        <v>7726.9156194499992</v>
      </c>
      <c r="P28" s="59">
        <v>15261.565000000001</v>
      </c>
      <c r="Q28" s="61">
        <f t="shared" si="16"/>
        <v>50.629903417179037</v>
      </c>
    </row>
    <row r="29" spans="1:17" ht="23.1" customHeight="1" x14ac:dyDescent="0.3">
      <c r="A29" s="35" t="s">
        <v>25</v>
      </c>
      <c r="B29" s="37">
        <v>226</v>
      </c>
      <c r="C29" s="38">
        <v>927.4666666666667</v>
      </c>
      <c r="D29" s="41">
        <v>380.40283410000001</v>
      </c>
      <c r="E29" s="37">
        <v>4658</v>
      </c>
      <c r="F29" s="38">
        <v>17922.725999999999</v>
      </c>
      <c r="G29" s="38">
        <v>18165.653999999999</v>
      </c>
      <c r="H29" s="38">
        <f t="shared" si="13"/>
        <v>98.662707106498885</v>
      </c>
      <c r="I29" s="40">
        <v>2392.4020049999999</v>
      </c>
      <c r="J29" s="40"/>
      <c r="K29" s="40">
        <f t="shared" si="15"/>
        <v>2392.4020049999999</v>
      </c>
      <c r="L29" s="37">
        <v>1344</v>
      </c>
      <c r="M29" s="38">
        <v>5374</v>
      </c>
      <c r="N29" s="40"/>
      <c r="O29" s="41">
        <f t="shared" si="14"/>
        <v>6718</v>
      </c>
      <c r="P29" s="38">
        <v>12345</v>
      </c>
      <c r="Q29" s="57">
        <f t="shared" si="16"/>
        <v>54.418793033616851</v>
      </c>
    </row>
    <row r="30" spans="1:17" ht="23.1" customHeight="1" x14ac:dyDescent="0.3">
      <c r="A30" s="50" t="s">
        <v>26</v>
      </c>
      <c r="B30" s="58">
        <v>180</v>
      </c>
      <c r="C30" s="59">
        <v>7365.4999999999991</v>
      </c>
      <c r="D30" s="60">
        <v>483.94501179999997</v>
      </c>
      <c r="E30" s="58">
        <v>7559</v>
      </c>
      <c r="F30" s="59">
        <v>33258.185000000005</v>
      </c>
      <c r="G30" s="59">
        <v>36020.556000000004</v>
      </c>
      <c r="H30" s="52">
        <f t="shared" si="13"/>
        <v>92.331126149191036</v>
      </c>
      <c r="I30" s="62">
        <v>1789.1821499999999</v>
      </c>
      <c r="J30" s="63"/>
      <c r="K30" s="63">
        <f t="shared" si="15"/>
        <v>1789.1821499999999</v>
      </c>
      <c r="L30" s="58">
        <v>2496.0413750000007</v>
      </c>
      <c r="M30" s="59">
        <v>4298.1478720000005</v>
      </c>
      <c r="N30" s="63"/>
      <c r="O30" s="60">
        <f t="shared" si="14"/>
        <v>6794.1892470000012</v>
      </c>
      <c r="P30" s="59">
        <v>12480.36</v>
      </c>
      <c r="Q30" s="61">
        <f t="shared" si="16"/>
        <v>54.439048609174748</v>
      </c>
    </row>
    <row r="31" spans="1:17" ht="23.1" customHeight="1" x14ac:dyDescent="0.3">
      <c r="A31" s="35" t="s">
        <v>27</v>
      </c>
      <c r="B31" s="37">
        <v>160</v>
      </c>
      <c r="C31" s="38">
        <v>558.9763333333334</v>
      </c>
      <c r="D31" s="41">
        <v>361.89020040000003</v>
      </c>
      <c r="E31" s="37">
        <v>531</v>
      </c>
      <c r="F31" s="38">
        <v>1348.7060000000001</v>
      </c>
      <c r="G31" s="38">
        <v>1474.192</v>
      </c>
      <c r="H31" s="38">
        <f t="shared" si="13"/>
        <v>91.487811628336075</v>
      </c>
      <c r="I31" s="39">
        <v>2185.0392500000003</v>
      </c>
      <c r="J31" s="40"/>
      <c r="K31" s="57">
        <f t="shared" si="15"/>
        <v>2185.0392500000003</v>
      </c>
      <c r="L31" s="38">
        <v>103.79961</v>
      </c>
      <c r="M31" s="38">
        <v>5042.9349199999997</v>
      </c>
      <c r="N31" s="38"/>
      <c r="O31" s="38">
        <f t="shared" si="14"/>
        <v>5146.7345299999997</v>
      </c>
      <c r="P31" s="37">
        <v>8069.1979000000001</v>
      </c>
      <c r="Q31" s="40">
        <f t="shared" si="16"/>
        <v>63.782479916622194</v>
      </c>
    </row>
    <row r="32" spans="1:17" ht="23.1" customHeight="1" x14ac:dyDescent="0.3">
      <c r="A32" s="50" t="s">
        <v>28</v>
      </c>
      <c r="B32" s="58">
        <v>202</v>
      </c>
      <c r="C32" s="59">
        <v>654.16666666666663</v>
      </c>
      <c r="D32" s="60">
        <v>417.1950999</v>
      </c>
      <c r="E32" s="58"/>
      <c r="F32" s="59"/>
      <c r="G32" s="59"/>
      <c r="H32" s="52" t="str">
        <f t="shared" si="13"/>
        <v xml:space="preserve"> </v>
      </c>
      <c r="I32" s="62">
        <v>2677.8360250000001</v>
      </c>
      <c r="J32" s="63"/>
      <c r="K32" s="63">
        <f t="shared" si="15"/>
        <v>2677.8360250000001</v>
      </c>
      <c r="L32" s="62"/>
      <c r="M32" s="63">
        <v>5909.6994009999999</v>
      </c>
      <c r="N32" s="63"/>
      <c r="O32" s="64">
        <f t="shared" si="14"/>
        <v>5909.6994009999999</v>
      </c>
      <c r="P32" s="59">
        <v>9367.8799999999992</v>
      </c>
      <c r="Q32" s="61">
        <f t="shared" si="16"/>
        <v>63.084704340790019</v>
      </c>
    </row>
    <row r="33" spans="1:17" ht="23.1" customHeight="1" x14ac:dyDescent="0.3">
      <c r="A33" s="35" t="s">
        <v>29</v>
      </c>
      <c r="B33" s="37">
        <v>184</v>
      </c>
      <c r="C33" s="38">
        <v>626.48333333333323</v>
      </c>
      <c r="D33" s="41">
        <v>431.66399999999999</v>
      </c>
      <c r="E33" s="37">
        <v>152</v>
      </c>
      <c r="F33" s="38">
        <v>315.85599999999999</v>
      </c>
      <c r="G33" s="38">
        <v>785.48400000000004</v>
      </c>
      <c r="H33" s="38">
        <f t="shared" si="13"/>
        <v>40.211640211640209</v>
      </c>
      <c r="I33" s="39">
        <v>2722.0615149999999</v>
      </c>
      <c r="J33" s="40"/>
      <c r="K33" s="40">
        <f t="shared" si="15"/>
        <v>2722.0615149999999</v>
      </c>
      <c r="L33" s="39">
        <v>23.6892</v>
      </c>
      <c r="M33" s="40">
        <v>6838.8639999999996</v>
      </c>
      <c r="N33" s="40"/>
      <c r="O33" s="36">
        <f t="shared" si="14"/>
        <v>6862.5531999999994</v>
      </c>
      <c r="P33" s="38">
        <v>10017.495999999999</v>
      </c>
      <c r="Q33" s="57">
        <f t="shared" si="16"/>
        <v>68.505674471943891</v>
      </c>
    </row>
    <row r="34" spans="1:17" ht="23.1" customHeight="1" x14ac:dyDescent="0.3">
      <c r="A34" s="50" t="s">
        <v>30</v>
      </c>
      <c r="B34" s="58">
        <v>190</v>
      </c>
      <c r="C34" s="59">
        <v>655.13300000000004</v>
      </c>
      <c r="D34" s="60">
        <v>491.56700000000001</v>
      </c>
      <c r="E34" s="58">
        <v>1403</v>
      </c>
      <c r="F34" s="59">
        <v>4706.2430000000004</v>
      </c>
      <c r="G34" s="59">
        <v>5141.3600000000006</v>
      </c>
      <c r="H34" s="52">
        <f t="shared" si="13"/>
        <v>91.536927972365291</v>
      </c>
      <c r="I34" s="62">
        <v>2569.9245799999999</v>
      </c>
      <c r="J34" s="63"/>
      <c r="K34" s="63">
        <f t="shared" si="15"/>
        <v>2569.9245799999999</v>
      </c>
      <c r="L34" s="62">
        <v>414.15655499999991</v>
      </c>
      <c r="M34" s="63">
        <v>6868.7787790000002</v>
      </c>
      <c r="N34" s="63"/>
      <c r="O34" s="64">
        <f t="shared" si="14"/>
        <v>7282.9353339999998</v>
      </c>
      <c r="P34" s="59">
        <v>11837.24834</v>
      </c>
      <c r="Q34" s="61">
        <f t="shared" si="16"/>
        <v>61.525576931505007</v>
      </c>
    </row>
    <row r="35" spans="1:17" ht="23.1" customHeight="1" x14ac:dyDescent="0.3">
      <c r="A35" s="35" t="s">
        <v>31</v>
      </c>
      <c r="B35" s="42">
        <v>186</v>
      </c>
      <c r="C35" s="43">
        <v>726.66666666666663</v>
      </c>
      <c r="D35" s="44">
        <v>470.32400000000001</v>
      </c>
      <c r="E35" s="42"/>
      <c r="F35" s="43"/>
      <c r="G35" s="43"/>
      <c r="H35" s="38" t="str">
        <f t="shared" si="13"/>
        <v xml:space="preserve"> </v>
      </c>
      <c r="I35" s="46">
        <v>2681.2708000000002</v>
      </c>
      <c r="J35" s="47"/>
      <c r="K35" s="47">
        <f t="shared" si="15"/>
        <v>2681.2708000000002</v>
      </c>
      <c r="L35" s="46"/>
      <c r="M35" s="47">
        <v>4876.6127400000005</v>
      </c>
      <c r="N35" s="47"/>
      <c r="O35" s="45">
        <f t="shared" si="14"/>
        <v>4876.6127400000005</v>
      </c>
      <c r="P35" s="47">
        <v>11079.1959427779</v>
      </c>
      <c r="Q35" s="45">
        <f t="shared" si="16"/>
        <v>44.015944525097744</v>
      </c>
    </row>
    <row r="36" spans="1:17" ht="23.1" customHeight="1" x14ac:dyDescent="0.3">
      <c r="A36" s="65" t="s">
        <v>32</v>
      </c>
      <c r="B36" s="66">
        <f t="shared" ref="B36:G36" si="17">SUM(B24:B35)</f>
        <v>2366</v>
      </c>
      <c r="C36" s="66">
        <f t="shared" si="17"/>
        <v>15720.192633333332</v>
      </c>
      <c r="D36" s="66">
        <f t="shared" si="17"/>
        <v>5133.5610190199995</v>
      </c>
      <c r="E36" s="66">
        <f t="shared" si="17"/>
        <v>28518</v>
      </c>
      <c r="F36" s="66">
        <f t="shared" si="17"/>
        <v>113853.906</v>
      </c>
      <c r="G36" s="66">
        <f t="shared" si="17"/>
        <v>120703.32</v>
      </c>
      <c r="H36" s="67">
        <f t="shared" si="13"/>
        <v>94.32541375001118</v>
      </c>
      <c r="I36" s="68">
        <f>SUM(I24:I35)</f>
        <v>25994.403765000003</v>
      </c>
      <c r="J36" s="68">
        <f>SUM(J24:J35)</f>
        <v>0</v>
      </c>
      <c r="K36" s="68">
        <f t="shared" ref="K36" si="18">IF(AND(ISBLANK(I36),ISBLANK(J36))=TRUE,"",I36+J36)</f>
        <v>25994.403765000003</v>
      </c>
      <c r="L36" s="68">
        <f>SUM(L24:L35)</f>
        <v>8604.3509900000008</v>
      </c>
      <c r="M36" s="68">
        <f>SUM(M24:M35)</f>
        <v>55689.731558530009</v>
      </c>
      <c r="N36" s="68">
        <f>SUM(N24:N35)</f>
        <v>0</v>
      </c>
      <c r="O36" s="68">
        <f t="shared" ref="O36" si="19">IF(AND(ISBLANK(L36),ISBLANK(M36),ISBLANK(N36))=TRUE,"",L36+M36+N36)</f>
        <v>64294.082548530008</v>
      </c>
      <c r="P36" s="68">
        <f>SUM(P24:P35)</f>
        <v>120904.04498877793</v>
      </c>
      <c r="Q36" s="67">
        <f t="shared" ref="Q36" si="20">IFERROR(O36/P36*100," ")</f>
        <v>53.177776272495812</v>
      </c>
    </row>
    <row r="37" spans="1:17" ht="18.75" customHeight="1" x14ac:dyDescent="0.3">
      <c r="A37" s="76" t="s">
        <v>38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8"/>
    </row>
    <row r="38" spans="1:17" x14ac:dyDescent="0.3">
      <c r="A38" s="73" t="s">
        <v>33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5"/>
    </row>
    <row r="39" spans="1:17" x14ac:dyDescent="0.3">
      <c r="A39" s="73" t="s">
        <v>34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5"/>
    </row>
    <row r="40" spans="1:17" ht="24" customHeight="1" x14ac:dyDescent="0.3">
      <c r="A40" s="91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3"/>
    </row>
    <row r="41" spans="1:17" ht="28.9" customHeight="1" x14ac:dyDescent="0.3"/>
    <row r="42" spans="1:17" ht="178.5" customHeight="1" x14ac:dyDescent="0.3">
      <c r="H42" s="69"/>
      <c r="Q42" s="69"/>
    </row>
    <row r="43" spans="1:17" ht="25.5" customHeight="1" x14ac:dyDescent="0.3"/>
    <row r="44" spans="1:17" ht="25.5" customHeight="1" x14ac:dyDescent="0.3">
      <c r="H44" s="69"/>
      <c r="Q44" s="69"/>
    </row>
    <row r="45" spans="1:17" ht="25.5" customHeight="1" x14ac:dyDescent="0.3"/>
    <row r="46" spans="1:17" ht="25.5" customHeight="1" x14ac:dyDescent="0.3">
      <c r="H46" s="69"/>
      <c r="Q46" s="69"/>
    </row>
    <row r="47" spans="1:17" ht="25.5" customHeight="1" x14ac:dyDescent="0.3"/>
    <row r="48" spans="1:17" ht="25.5" customHeight="1" x14ac:dyDescent="0.3">
      <c r="H48" s="69"/>
      <c r="Q48" s="69"/>
    </row>
    <row r="49" spans="8:17" ht="25.5" customHeight="1" x14ac:dyDescent="0.3"/>
    <row r="50" spans="8:17" ht="25.5" customHeight="1" x14ac:dyDescent="0.3">
      <c r="H50" s="69"/>
      <c r="Q50" s="69"/>
    </row>
    <row r="51" spans="8:17" ht="25.5" customHeight="1" x14ac:dyDescent="0.3"/>
    <row r="52" spans="8:17" ht="25.5" customHeight="1" x14ac:dyDescent="0.3">
      <c r="H52" s="69"/>
      <c r="Q52" s="69"/>
    </row>
    <row r="53" spans="8:17" ht="25.5" customHeight="1" x14ac:dyDescent="0.3"/>
    <row r="54" spans="8:17" ht="25.5" customHeight="1" x14ac:dyDescent="0.3">
      <c r="H54" s="69"/>
      <c r="Q54" s="69"/>
    </row>
    <row r="55" spans="8:17" ht="25.5" customHeight="1" x14ac:dyDescent="0.3"/>
    <row r="56" spans="8:17" ht="22.5" customHeight="1" x14ac:dyDescent="0.3">
      <c r="H56" s="69"/>
      <c r="Q56" s="69"/>
    </row>
    <row r="57" spans="8:17" ht="22.5" customHeight="1" x14ac:dyDescent="0.3"/>
    <row r="58" spans="8:17" ht="22.5" customHeight="1" x14ac:dyDescent="0.3">
      <c r="H58" s="69"/>
      <c r="Q58" s="69"/>
    </row>
    <row r="59" spans="8:17" ht="47.25" customHeight="1" x14ac:dyDescent="0.3">
      <c r="H59" s="69"/>
      <c r="Q59" s="69"/>
    </row>
    <row r="60" spans="8:17" ht="28.9" customHeight="1" x14ac:dyDescent="0.3">
      <c r="H60" s="69"/>
      <c r="Q60" s="69"/>
    </row>
    <row r="61" spans="8:17" ht="164.25" customHeight="1" x14ac:dyDescent="0.3">
      <c r="H61" s="69"/>
      <c r="Q61" s="69"/>
    </row>
    <row r="62" spans="8:17" ht="24.75" customHeight="1" x14ac:dyDescent="0.3">
      <c r="H62" s="69"/>
      <c r="Q62" s="69"/>
    </row>
    <row r="63" spans="8:17" ht="24.75" customHeight="1" x14ac:dyDescent="0.3">
      <c r="H63" s="69"/>
      <c r="Q63" s="69"/>
    </row>
    <row r="64" spans="8:17" ht="24.75" customHeight="1" x14ac:dyDescent="0.3">
      <c r="H64" s="69"/>
      <c r="Q64" s="69"/>
    </row>
    <row r="65" ht="24.75" customHeight="1" x14ac:dyDescent="0.3"/>
    <row r="66" ht="24.75" customHeight="1" x14ac:dyDescent="0.3"/>
    <row r="67" ht="24.75" customHeight="1" x14ac:dyDescent="0.3"/>
    <row r="68" ht="24.75" customHeight="1" x14ac:dyDescent="0.3"/>
    <row r="69" ht="24.75" customHeight="1" x14ac:dyDescent="0.3"/>
    <row r="70" ht="24.75" customHeight="1" x14ac:dyDescent="0.3"/>
    <row r="71" ht="24.75" customHeight="1" x14ac:dyDescent="0.3"/>
    <row r="72" ht="24.75" customHeight="1" x14ac:dyDescent="0.3"/>
    <row r="73" ht="24.75" customHeight="1" x14ac:dyDescent="0.3"/>
    <row r="74" ht="24.75" customHeight="1" x14ac:dyDescent="0.3"/>
    <row r="84" spans="8:17" x14ac:dyDescent="0.3">
      <c r="H84" s="69"/>
      <c r="Q84" s="69"/>
    </row>
    <row r="87" spans="8:17" x14ac:dyDescent="0.3">
      <c r="H87" s="69"/>
      <c r="Q87" s="69"/>
    </row>
    <row r="89" spans="8:17" x14ac:dyDescent="0.3">
      <c r="H89" s="69"/>
      <c r="Q89" s="69"/>
    </row>
    <row r="91" spans="8:17" x14ac:dyDescent="0.3">
      <c r="H91" s="69"/>
      <c r="Q91" s="69"/>
    </row>
    <row r="93" spans="8:17" x14ac:dyDescent="0.3">
      <c r="H93" s="69"/>
      <c r="Q93" s="69"/>
    </row>
    <row r="95" spans="8:17" x14ac:dyDescent="0.3">
      <c r="H95" s="69"/>
      <c r="Q95" s="69"/>
    </row>
    <row r="97" spans="8:17" x14ac:dyDescent="0.3">
      <c r="H97" s="69"/>
      <c r="Q97" s="69"/>
    </row>
    <row r="99" spans="8:17" x14ac:dyDescent="0.3">
      <c r="H99" s="69"/>
      <c r="Q99" s="69"/>
    </row>
    <row r="101" spans="8:17" x14ac:dyDescent="0.3">
      <c r="H101" s="69"/>
      <c r="Q101" s="69"/>
    </row>
    <row r="103" spans="8:17" x14ac:dyDescent="0.3">
      <c r="H103" s="69"/>
      <c r="Q103" s="69"/>
    </row>
    <row r="104" spans="8:17" x14ac:dyDescent="0.3">
      <c r="Q104" s="69"/>
    </row>
    <row r="105" spans="8:17" x14ac:dyDescent="0.3">
      <c r="H105" s="69"/>
      <c r="Q105" s="69"/>
    </row>
    <row r="106" spans="8:17" x14ac:dyDescent="0.3">
      <c r="H106" s="69"/>
      <c r="Q106" s="69"/>
    </row>
    <row r="107" spans="8:17" x14ac:dyDescent="0.3">
      <c r="H107" s="69"/>
      <c r="Q107" s="69"/>
    </row>
    <row r="108" spans="8:17" x14ac:dyDescent="0.3">
      <c r="H108" s="69"/>
      <c r="Q108" s="69"/>
    </row>
    <row r="109" spans="8:17" x14ac:dyDescent="0.3">
      <c r="H109" s="69"/>
      <c r="Q109" s="69"/>
    </row>
    <row r="132" spans="8:17" x14ac:dyDescent="0.3">
      <c r="H132" s="69"/>
      <c r="Q132" s="69"/>
    </row>
    <row r="135" spans="8:17" x14ac:dyDescent="0.3">
      <c r="H135" s="69"/>
      <c r="Q135" s="69"/>
    </row>
    <row r="137" spans="8:17" x14ac:dyDescent="0.3">
      <c r="H137" s="69"/>
      <c r="Q137" s="69"/>
    </row>
    <row r="139" spans="8:17" x14ac:dyDescent="0.3">
      <c r="H139" s="69"/>
      <c r="Q139" s="69"/>
    </row>
    <row r="141" spans="8:17" x14ac:dyDescent="0.3">
      <c r="H141" s="69"/>
      <c r="Q141" s="69"/>
    </row>
    <row r="143" spans="8:17" x14ac:dyDescent="0.3">
      <c r="H143" s="69"/>
      <c r="Q143" s="69"/>
    </row>
    <row r="145" spans="8:17" x14ac:dyDescent="0.3">
      <c r="H145" s="69"/>
      <c r="Q145" s="69"/>
    </row>
    <row r="147" spans="8:17" x14ac:dyDescent="0.3">
      <c r="H147" s="69"/>
      <c r="Q147" s="69"/>
    </row>
    <row r="149" spans="8:17" x14ac:dyDescent="0.3">
      <c r="H149" s="69"/>
      <c r="Q149" s="69"/>
    </row>
    <row r="151" spans="8:17" x14ac:dyDescent="0.3">
      <c r="H151" s="69"/>
      <c r="Q151" s="69"/>
    </row>
    <row r="153" spans="8:17" x14ac:dyDescent="0.3">
      <c r="H153" s="69"/>
      <c r="Q153" s="69"/>
    </row>
    <row r="155" spans="8:17" x14ac:dyDescent="0.3">
      <c r="H155" s="69"/>
      <c r="Q155" s="69"/>
    </row>
    <row r="157" spans="8:17" x14ac:dyDescent="0.3">
      <c r="H157" s="69"/>
      <c r="Q157" s="69"/>
    </row>
    <row r="180" spans="8:17" x14ac:dyDescent="0.3">
      <c r="H180" s="69"/>
      <c r="Q180" s="69"/>
    </row>
    <row r="182" spans="8:17" x14ac:dyDescent="0.3">
      <c r="H182" s="69"/>
      <c r="Q182" s="69"/>
    </row>
    <row r="183" spans="8:17" x14ac:dyDescent="0.3">
      <c r="H183" s="69"/>
      <c r="Q183" s="69"/>
    </row>
    <row r="184" spans="8:17" x14ac:dyDescent="0.3">
      <c r="H184" s="69"/>
      <c r="Q184" s="69"/>
    </row>
    <row r="185" spans="8:17" x14ac:dyDescent="0.3">
      <c r="H185" s="69"/>
      <c r="Q185" s="69"/>
    </row>
    <row r="186" spans="8:17" x14ac:dyDescent="0.3">
      <c r="H186" s="69"/>
      <c r="Q186" s="69"/>
    </row>
    <row r="187" spans="8:17" x14ac:dyDescent="0.3">
      <c r="H187" s="69"/>
      <c r="Q187" s="69"/>
    </row>
    <row r="188" spans="8:17" x14ac:dyDescent="0.3">
      <c r="H188" s="69"/>
      <c r="Q188" s="69"/>
    </row>
    <row r="189" spans="8:17" x14ac:dyDescent="0.3">
      <c r="H189" s="69"/>
      <c r="Q189" s="69"/>
    </row>
    <row r="190" spans="8:17" x14ac:dyDescent="0.3">
      <c r="H190" s="69"/>
      <c r="Q190" s="69"/>
    </row>
    <row r="191" spans="8:17" x14ac:dyDescent="0.3">
      <c r="H191" s="69"/>
      <c r="Q191" s="69"/>
    </row>
    <row r="192" spans="8:17" x14ac:dyDescent="0.3">
      <c r="H192" s="69"/>
      <c r="Q192" s="69"/>
    </row>
    <row r="193" spans="8:17" x14ac:dyDescent="0.3">
      <c r="H193" s="69"/>
      <c r="Q193" s="69"/>
    </row>
    <row r="194" spans="8:17" x14ac:dyDescent="0.3">
      <c r="H194" s="69"/>
      <c r="Q194" s="69"/>
    </row>
    <row r="195" spans="8:17" x14ac:dyDescent="0.3">
      <c r="H195" s="69"/>
      <c r="Q195" s="69"/>
    </row>
    <row r="196" spans="8:17" x14ac:dyDescent="0.3">
      <c r="H196" s="69"/>
      <c r="Q196" s="69"/>
    </row>
    <row r="197" spans="8:17" x14ac:dyDescent="0.3">
      <c r="H197" s="69"/>
      <c r="Q197" s="69"/>
    </row>
    <row r="198" spans="8:17" x14ac:dyDescent="0.3">
      <c r="H198" s="69"/>
      <c r="Q198" s="69"/>
    </row>
    <row r="199" spans="8:17" x14ac:dyDescent="0.3">
      <c r="H199" s="69"/>
      <c r="Q199" s="69"/>
    </row>
    <row r="200" spans="8:17" x14ac:dyDescent="0.3">
      <c r="H200" s="69"/>
      <c r="Q200" s="69"/>
    </row>
    <row r="201" spans="8:17" x14ac:dyDescent="0.3">
      <c r="H201" s="69"/>
      <c r="Q201" s="69"/>
    </row>
    <row r="202" spans="8:17" x14ac:dyDescent="0.3">
      <c r="H202" s="69"/>
      <c r="Q202" s="69"/>
    </row>
    <row r="203" spans="8:17" x14ac:dyDescent="0.3">
      <c r="H203" s="69"/>
      <c r="Q203" s="69"/>
    </row>
    <row r="204" spans="8:17" x14ac:dyDescent="0.3">
      <c r="H204" s="69"/>
      <c r="Q204" s="69"/>
    </row>
    <row r="205" spans="8:17" x14ac:dyDescent="0.3">
      <c r="H205" s="69"/>
      <c r="Q205" s="69"/>
    </row>
    <row r="228" spans="8:17" x14ac:dyDescent="0.3">
      <c r="H228" s="69"/>
      <c r="Q228" s="69"/>
    </row>
    <row r="231" spans="8:17" x14ac:dyDescent="0.3">
      <c r="H231" s="69"/>
      <c r="Q231" s="69"/>
    </row>
    <row r="233" spans="8:17" x14ac:dyDescent="0.3">
      <c r="H233" s="69"/>
      <c r="Q233" s="69"/>
    </row>
    <row r="234" spans="8:17" x14ac:dyDescent="0.3">
      <c r="H234" s="69"/>
    </row>
    <row r="235" spans="8:17" x14ac:dyDescent="0.3">
      <c r="H235" s="69"/>
      <c r="Q235" s="69"/>
    </row>
    <row r="237" spans="8:17" x14ac:dyDescent="0.3">
      <c r="H237" s="69"/>
      <c r="Q237" s="69"/>
    </row>
    <row r="239" spans="8:17" x14ac:dyDescent="0.3">
      <c r="H239" s="69"/>
      <c r="Q239" s="69"/>
    </row>
    <row r="241" spans="8:17" x14ac:dyDescent="0.3">
      <c r="H241" s="69"/>
      <c r="Q241" s="69"/>
    </row>
    <row r="243" spans="8:17" x14ac:dyDescent="0.3">
      <c r="H243" s="69"/>
      <c r="Q243" s="69"/>
    </row>
    <row r="245" spans="8:17" x14ac:dyDescent="0.3">
      <c r="H245" s="69"/>
      <c r="Q245" s="69"/>
    </row>
    <row r="247" spans="8:17" x14ac:dyDescent="0.3">
      <c r="H247" s="69"/>
      <c r="Q247" s="69"/>
    </row>
    <row r="248" spans="8:17" x14ac:dyDescent="0.3">
      <c r="H248" s="69"/>
      <c r="Q248" s="69"/>
    </row>
    <row r="249" spans="8:17" x14ac:dyDescent="0.3">
      <c r="H249" s="69"/>
      <c r="Q249" s="69"/>
    </row>
    <row r="250" spans="8:17" x14ac:dyDescent="0.3">
      <c r="H250" s="69"/>
      <c r="Q250" s="69"/>
    </row>
    <row r="251" spans="8:17" x14ac:dyDescent="0.3">
      <c r="H251" s="69"/>
      <c r="Q251" s="69"/>
    </row>
    <row r="252" spans="8:17" x14ac:dyDescent="0.3">
      <c r="H252" s="69"/>
      <c r="Q252" s="69"/>
    </row>
    <row r="253" spans="8:17" x14ac:dyDescent="0.3">
      <c r="H253" s="69"/>
      <c r="Q253" s="69"/>
    </row>
    <row r="255" spans="8:17" x14ac:dyDescent="0.3">
      <c r="H255" s="69"/>
    </row>
    <row r="274" spans="8:17" x14ac:dyDescent="0.3">
      <c r="H274" s="69"/>
      <c r="Q274" s="69"/>
    </row>
    <row r="277" spans="8:17" x14ac:dyDescent="0.3">
      <c r="H277" s="69"/>
      <c r="Q277" s="69"/>
    </row>
    <row r="279" spans="8:17" x14ac:dyDescent="0.3">
      <c r="H279" s="69"/>
      <c r="Q279" s="69"/>
    </row>
    <row r="281" spans="8:17" x14ac:dyDescent="0.3">
      <c r="H281" s="69"/>
      <c r="Q281" s="69"/>
    </row>
    <row r="283" spans="8:17" x14ac:dyDescent="0.3">
      <c r="H283" s="69"/>
      <c r="Q283" s="69"/>
    </row>
    <row r="285" spans="8:17" x14ac:dyDescent="0.3">
      <c r="H285" s="69"/>
      <c r="Q285" s="69"/>
    </row>
    <row r="287" spans="8:17" x14ac:dyDescent="0.3">
      <c r="H287" s="69"/>
      <c r="Q287" s="69"/>
    </row>
    <row r="289" spans="8:17" x14ac:dyDescent="0.3">
      <c r="H289" s="69"/>
      <c r="Q289" s="69"/>
    </row>
    <row r="291" spans="8:17" x14ac:dyDescent="0.3">
      <c r="H291" s="69"/>
      <c r="Q291" s="69"/>
    </row>
    <row r="293" spans="8:17" x14ac:dyDescent="0.3">
      <c r="H293" s="69"/>
      <c r="Q293" s="69"/>
    </row>
    <row r="295" spans="8:17" x14ac:dyDescent="0.3">
      <c r="H295" s="69"/>
      <c r="Q295" s="69"/>
    </row>
    <row r="297" spans="8:17" x14ac:dyDescent="0.3">
      <c r="H297" s="69"/>
      <c r="Q297" s="69"/>
    </row>
    <row r="299" spans="8:17" x14ac:dyDescent="0.3">
      <c r="H299" s="69"/>
      <c r="Q299" s="69"/>
    </row>
    <row r="325" spans="8:17" x14ac:dyDescent="0.3">
      <c r="Q325" s="69"/>
    </row>
    <row r="327" spans="8:17" x14ac:dyDescent="0.3">
      <c r="H327" s="69"/>
      <c r="Q327" s="69"/>
    </row>
    <row r="329" spans="8:17" x14ac:dyDescent="0.3">
      <c r="H329" s="69"/>
    </row>
    <row r="331" spans="8:17" x14ac:dyDescent="0.3">
      <c r="H331" s="69"/>
      <c r="Q331" s="69"/>
    </row>
    <row r="359" spans="8:17" x14ac:dyDescent="0.3">
      <c r="H359" s="69"/>
    </row>
    <row r="361" spans="8:17" x14ac:dyDescent="0.3">
      <c r="Q361" s="69"/>
    </row>
    <row r="362" spans="8:17" x14ac:dyDescent="0.3">
      <c r="Q362" s="69"/>
    </row>
    <row r="363" spans="8:17" x14ac:dyDescent="0.3">
      <c r="Q363" s="69"/>
    </row>
    <row r="364" spans="8:17" x14ac:dyDescent="0.3">
      <c r="Q364" s="69"/>
    </row>
    <row r="365" spans="8:17" x14ac:dyDescent="0.3">
      <c r="H365" s="69"/>
      <c r="Q365" s="69"/>
    </row>
    <row r="367" spans="8:17" x14ac:dyDescent="0.3">
      <c r="H367" s="69"/>
      <c r="Q367" s="69"/>
    </row>
    <row r="370" spans="17:17" x14ac:dyDescent="0.3">
      <c r="Q370" s="69"/>
    </row>
    <row r="394" spans="8:17" x14ac:dyDescent="0.3">
      <c r="Q394" s="69"/>
    </row>
    <row r="395" spans="8:17" x14ac:dyDescent="0.3">
      <c r="H395" s="69"/>
      <c r="Q395" s="69"/>
    </row>
    <row r="396" spans="8:17" x14ac:dyDescent="0.3">
      <c r="H396" s="69"/>
      <c r="Q396" s="69"/>
    </row>
    <row r="397" spans="8:17" x14ac:dyDescent="0.3">
      <c r="H397" s="69"/>
      <c r="Q397" s="69"/>
    </row>
    <row r="398" spans="8:17" x14ac:dyDescent="0.3">
      <c r="H398" s="69"/>
      <c r="Q398" s="69"/>
    </row>
    <row r="399" spans="8:17" x14ac:dyDescent="0.3">
      <c r="H399" s="69"/>
      <c r="Q399" s="69"/>
    </row>
    <row r="400" spans="8:17" x14ac:dyDescent="0.3">
      <c r="H400" s="69"/>
      <c r="Q400" s="69"/>
    </row>
    <row r="402" spans="8:17" x14ac:dyDescent="0.3">
      <c r="H402" s="69"/>
      <c r="Q402" s="69"/>
    </row>
    <row r="456" spans="13:13" x14ac:dyDescent="0.3">
      <c r="M456" s="70"/>
    </row>
    <row r="457" spans="13:13" x14ac:dyDescent="0.3">
      <c r="M457" s="1" t="s">
        <v>35</v>
      </c>
    </row>
  </sheetData>
  <mergeCells count="34">
    <mergeCell ref="A40:Q40"/>
    <mergeCell ref="A39:Q39"/>
    <mergeCell ref="A21:B21"/>
    <mergeCell ref="C21:N21"/>
    <mergeCell ref="O21:Q21"/>
    <mergeCell ref="A22:A23"/>
    <mergeCell ref="B22:D22"/>
    <mergeCell ref="E22:E23"/>
    <mergeCell ref="F22:F23"/>
    <mergeCell ref="G22:G23"/>
    <mergeCell ref="H22:H23"/>
    <mergeCell ref="I22:K22"/>
    <mergeCell ref="L22:O22"/>
    <mergeCell ref="P22:P23"/>
    <mergeCell ref="Q22:Q23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8:Q18"/>
    <mergeCell ref="A38:Q38"/>
    <mergeCell ref="A19:Q19"/>
    <mergeCell ref="A37:Q37"/>
    <mergeCell ref="A17:Q17"/>
    <mergeCell ref="A20:Q20"/>
  </mergeCells>
  <printOptions gridLines="1"/>
  <pageMargins left="0.7" right="0.7" top="0.75" bottom="0.5" header="0.3" footer="0.3"/>
  <pageSetup scale="65" firstPageNumber="76" orientation="landscape" useFirstPageNumber="1" r:id="rId1"/>
  <headerFooter alignWithMargins="0"/>
  <rowBreaks count="1" manualBreakCount="1">
    <brk id="20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Monthly_Template</vt:lpstr>
      <vt:lpstr>Sheet1</vt:lpstr>
      <vt:lpstr>Monthly_Template!\x</vt:lpstr>
      <vt:lpstr>Monthly_Template!Print_Area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2025-01-21T10:11:22Z</cp:lastPrinted>
  <dcterms:created xsi:type="dcterms:W3CDTF">2021-03-02T10:01:37Z</dcterms:created>
  <dcterms:modified xsi:type="dcterms:W3CDTF">2025-01-21T10:11:24Z</dcterms:modified>
</cp:coreProperties>
</file>