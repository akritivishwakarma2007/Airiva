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H73" i="2" s="1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<sst xmlns="http://schemas.openxmlformats.org/spreadsheetml/2006/main" count="153" uniqueCount="42">
  <si>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</si>
  <si>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 EXPRESS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</si>
  <si>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</si>
  <si>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</si>
  <si>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</si>
  <si>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</si>
  <si>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</si>
  <si>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</si>
  <si>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</si>
  <si>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</si>
  <si>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</si>
  <si>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</si>
  <si>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</si>
  <si>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</si>
  <si>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</si>
  <si>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</si>
  <si>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</si>
  <si>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</si>
  <si>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</si>
  <si>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</si>
  <si>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</si>
  <si>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</si>
  <si>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</si>
  <si>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</si>
  <si>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</si>
  <si>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</si>
  <si>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</si>
  <si>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</si>
  <si>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</si>
  <si>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</si>
  <si>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</si>
  <si>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</si>
  <si>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</si>
  <si>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</si>
  <si>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</si>
  <si>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 EXPRESS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</si>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</sst>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1" transitionEvaluation="1" transitionEntry="1" codeName="Sheet12"/>
  <dimension ref="A1:Q494"/>
  <sheetViews>
    <sheetView showGridLines="0" tabSelected="1" view="pageBreakPreview" topLeftCell="A31" zoomScale="55" zoomScaleNormal="85" zoomScaleSheetLayoutView="55" workbookViewId="0">
      <selection activeCell="L64" sqref="L64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1824</v>
      </c>
      <c r="C4" s="12">
        <v>3216.6833333333334</v>
      </c>
      <c r="D4" s="13">
        <v>1581.0410000000004</v>
      </c>
      <c r="E4" s="14">
        <v>262203</v>
      </c>
      <c r="F4" s="12">
        <v>234850.59800000006</v>
      </c>
      <c r="G4" s="12">
        <v>282903.55799999984</v>
      </c>
      <c r="H4" s="15">
        <f>IFERROR(F4/G4*100," ")</f>
        <v>83.014367037405805</v>
      </c>
      <c r="I4" s="16">
        <v>436.78900000000004</v>
      </c>
      <c r="J4" s="17"/>
      <c r="K4" s="15">
        <f>IF(AND(ISBLANK(I4),ISBLANK(J4))=TRUE,"",I4+J4)</f>
        <v>436.78900000000004</v>
      </c>
      <c r="L4" s="16">
        <v>17551.054875000005</v>
      </c>
      <c r="M4" s="17">
        <v>185.27457650000002</v>
      </c>
      <c r="N4" s="17"/>
      <c r="O4" s="15">
        <f>IF(AND(ISBLANK(L4),ISBLANK(M4),ISBLANK(N4))=TRUE,"",L4+M4+N4)</f>
        <v>17736.329451500005</v>
      </c>
      <c r="P4" s="17">
        <v>31620.819999999996</v>
      </c>
      <c r="Q4" s="15">
        <f>IFERROR(O4/P4*100," ")</f>
        <v>56.09066890580322</v>
      </c>
    </row>
    <row r="5" spans="1:17" ht="23.1" customHeight="1" x14ac:dyDescent="0.3">
      <c r="A5" s="18" t="s">
        <v>23</v>
      </c>
      <c r="B5" s="19">
        <v>2032</v>
      </c>
      <c r="C5" s="19">
        <v>3566</v>
      </c>
      <c r="D5" s="18">
        <v>1748.057</v>
      </c>
      <c r="E5" s="20">
        <v>284271</v>
      </c>
      <c r="F5" s="19">
        <v>252814.09</v>
      </c>
      <c r="G5" s="19">
        <v>310031.77</v>
      </c>
      <c r="H5" s="21">
        <f t="shared" ref="H5:H16" si="0">IFERROR(F5/G5*100," ")</f>
        <v>81.544575254336024</v>
      </c>
      <c r="I5" s="22">
        <v>471.75699999999995</v>
      </c>
      <c r="J5" s="23"/>
      <c r="K5" s="21">
        <f t="shared" ref="K5:K16" si="1">IF(AND(ISBLANK(I5),ISBLANK(J5))=TRUE,"",I5+J5)</f>
        <v>471.75699999999995</v>
      </c>
      <c r="L5" s="22">
        <v>18961.05675</v>
      </c>
      <c r="M5" s="23">
        <v>544.24712650000004</v>
      </c>
      <c r="N5" s="23"/>
      <c r="O5" s="21">
        <f t="shared" ref="O5:O16" si="2">IF(AND(ISBLANK(L5),ISBLANK(M5),ISBLANK(N5))=TRUE,"",L5+M5+N5)</f>
        <v>19505.303876499998</v>
      </c>
      <c r="P5" s="23">
        <v>34961.140000000007</v>
      </c>
      <c r="Q5" s="21">
        <f t="shared" ref="Q5:Q16" si="3">IFERROR(O5/P5*100," ")</f>
        <v>55.791384023804703</v>
      </c>
    </row>
    <row r="6" spans="1:17" ht="23.1" customHeight="1" x14ac:dyDescent="0.3">
      <c r="A6" s="24" t="s">
        <v>24</v>
      </c>
      <c r="B6" s="25">
        <v>2499</v>
      </c>
      <c r="C6" s="25">
        <v>4609.6333333333359</v>
      </c>
      <c r="D6" s="24">
        <v>2358.7129999999993</v>
      </c>
      <c r="E6" s="26">
        <v>338108</v>
      </c>
      <c r="F6" s="25">
        <v>328731.97100000008</v>
      </c>
      <c r="G6" s="25">
        <v>412689.65600000013</v>
      </c>
      <c r="H6" s="27">
        <f t="shared" si="0"/>
        <v>79.655975433510733</v>
      </c>
      <c r="I6" s="28">
        <v>435.42700000000002</v>
      </c>
      <c r="J6" s="29">
        <v>0</v>
      </c>
      <c r="K6" s="27">
        <f t="shared" si="1"/>
        <v>435.42700000000002</v>
      </c>
      <c r="L6" s="28">
        <v>17010.275175000002</v>
      </c>
      <c r="M6" s="29">
        <v>231.05859050000001</v>
      </c>
      <c r="N6" s="29">
        <v>0</v>
      </c>
      <c r="O6" s="27">
        <f t="shared" si="2"/>
        <v>17241.333765500003</v>
      </c>
      <c r="P6" s="29">
        <v>40932.379999999997</v>
      </c>
      <c r="Q6" s="27">
        <f t="shared" si="3"/>
        <v>42.121503234114421</v>
      </c>
    </row>
    <row r="7" spans="1:17" ht="23.1" customHeight="1" x14ac:dyDescent="0.3">
      <c r="A7" s="18" t="s">
        <v>25</v>
      </c>
      <c r="B7" s="19">
        <v>2976</v>
      </c>
      <c r="C7" s="19">
        <v>5348.7333333333345</v>
      </c>
      <c r="D7" s="18">
        <v>2768.679999999998</v>
      </c>
      <c r="E7" s="20">
        <v>422278</v>
      </c>
      <c r="F7" s="19">
        <v>399775.24099999981</v>
      </c>
      <c r="G7" s="19">
        <v>486169.16500000015</v>
      </c>
      <c r="H7" s="21">
        <f t="shared" si="0"/>
        <v>82.229657859934349</v>
      </c>
      <c r="I7" s="22">
        <v>738.99479999999971</v>
      </c>
      <c r="J7" s="23">
        <v>0</v>
      </c>
      <c r="K7" s="21">
        <f t="shared" si="1"/>
        <v>738.99479999999971</v>
      </c>
      <c r="L7" s="22">
        <v>15596.51009999999</v>
      </c>
      <c r="M7" s="23">
        <v>972.92722570000001</v>
      </c>
      <c r="N7" s="23">
        <v>0</v>
      </c>
      <c r="O7" s="21">
        <f t="shared" si="2"/>
        <v>16569.43732569999</v>
      </c>
      <c r="P7" s="23">
        <v>55373.599999999955</v>
      </c>
      <c r="Q7" s="21">
        <f t="shared" si="3"/>
        <v>29.922990966272746</v>
      </c>
    </row>
    <row r="8" spans="1:17" s="30" customFormat="1" ht="30" customHeight="1" x14ac:dyDescent="0.25">
      <c r="A8" s="24" t="s">
        <v>26</v>
      </c>
      <c r="B8" s="25">
        <v>2233</v>
      </c>
      <c r="C8" s="25">
        <v>4168.5666666666666</v>
      </c>
      <c r="D8" s="24">
        <v>1647.2969999999996</v>
      </c>
      <c r="E8" s="26">
        <v>328320</v>
      </c>
      <c r="F8" s="25">
        <v>328669.00400000025</v>
      </c>
      <c r="G8" s="25">
        <v>388785.56800000009</v>
      </c>
      <c r="H8" s="27">
        <f t="shared" si="0"/>
        <v>84.537346818388116</v>
      </c>
      <c r="I8" s="28">
        <v>820.99749999999995</v>
      </c>
      <c r="J8" s="29">
        <v>0</v>
      </c>
      <c r="K8" s="27">
        <f t="shared" si="1"/>
        <v>820.99749999999995</v>
      </c>
      <c r="L8" s="28">
        <v>32866.900399999999</v>
      </c>
      <c r="M8" s="29">
        <v>734</v>
      </c>
      <c r="N8" s="29">
        <v>0</v>
      </c>
      <c r="O8" s="27">
        <f t="shared" si="2"/>
        <v>33600.900399999999</v>
      </c>
      <c r="P8" s="29">
        <v>44186.140000000029</v>
      </c>
      <c r="Q8" s="27">
        <f t="shared" si="3"/>
        <v>76.043982117469369</v>
      </c>
    </row>
    <row r="9" spans="1:17" ht="23.1" customHeight="1" x14ac:dyDescent="0.3">
      <c r="A9" s="18" t="s">
        <v>27</v>
      </c>
      <c r="B9" s="19">
        <v>2844</v>
      </c>
      <c r="C9" s="19">
        <v>5302.0666666666666</v>
      </c>
      <c r="D9" s="18">
        <v>2802.5030000000006</v>
      </c>
      <c r="E9" s="20">
        <v>423233</v>
      </c>
      <c r="F9" s="19">
        <v>426312.63099999999</v>
      </c>
      <c r="G9" s="19">
        <v>492057.23200000008</v>
      </c>
      <c r="H9" s="21">
        <f t="shared" si="0"/>
        <v>86.638830460274576</v>
      </c>
      <c r="I9" s="22">
        <v>645.94954999999993</v>
      </c>
      <c r="J9" s="23"/>
      <c r="K9" s="21">
        <f t="shared" si="1"/>
        <v>645.94954999999993</v>
      </c>
      <c r="L9" s="22">
        <v>42631.263099999989</v>
      </c>
      <c r="M9" s="23">
        <v>517.52244282999993</v>
      </c>
      <c r="N9" s="23">
        <v>0</v>
      </c>
      <c r="O9" s="21">
        <f t="shared" si="2"/>
        <v>43148.785542829988</v>
      </c>
      <c r="P9" s="23">
        <v>56050.060000000012</v>
      </c>
      <c r="Q9" s="21">
        <f t="shared" si="3"/>
        <v>76.982585822084715</v>
      </c>
    </row>
    <row r="10" spans="1:17" ht="23.1" customHeight="1" x14ac:dyDescent="0.3">
      <c r="A10" s="24" t="s">
        <v>28</v>
      </c>
      <c r="B10" s="25">
        <v>2283</v>
      </c>
      <c r="C10" s="25">
        <v>4014.7833333333338</v>
      </c>
      <c r="D10" s="24">
        <v>2140.7149999999997</v>
      </c>
      <c r="E10" s="26">
        <v>317746</v>
      </c>
      <c r="F10" s="25">
        <v>308142.391</v>
      </c>
      <c r="G10" s="25">
        <v>376319.53799999983</v>
      </c>
      <c r="H10" s="27">
        <f t="shared" si="0"/>
        <v>81.883176365931902</v>
      </c>
      <c r="I10" s="28">
        <v>995.40046999999959</v>
      </c>
      <c r="J10" s="29"/>
      <c r="K10" s="27">
        <f t="shared" si="1"/>
        <v>995.40046999999959</v>
      </c>
      <c r="L10" s="28">
        <v>30814.239099999995</v>
      </c>
      <c r="M10" s="29">
        <v>1285.45345432</v>
      </c>
      <c r="N10" s="29"/>
      <c r="O10" s="27">
        <f t="shared" si="2"/>
        <v>32099.692554319994</v>
      </c>
      <c r="P10" s="29">
        <v>42814.300000000054</v>
      </c>
      <c r="Q10" s="27">
        <f t="shared" si="3"/>
        <v>74.974231867203144</v>
      </c>
    </row>
    <row r="11" spans="1:17" ht="23.1" customHeight="1" x14ac:dyDescent="0.3">
      <c r="A11" s="18" t="s">
        <v>29</v>
      </c>
      <c r="B11" s="19">
        <v>3094</v>
      </c>
      <c r="C11" s="19">
        <v>5252.2833333333365</v>
      </c>
      <c r="D11" s="18">
        <v>2970.7170000000001</v>
      </c>
      <c r="E11" s="20">
        <v>408361</v>
      </c>
      <c r="F11" s="19">
        <v>400051.18099999987</v>
      </c>
      <c r="G11" s="19">
        <v>521013.76799999992</v>
      </c>
      <c r="H11" s="21">
        <f t="shared" si="0"/>
        <v>76.78322638875062</v>
      </c>
      <c r="I11" s="22">
        <v>1039.8614800000003</v>
      </c>
      <c r="J11" s="23"/>
      <c r="K11" s="21">
        <f t="shared" si="1"/>
        <v>1039.8614800000003</v>
      </c>
      <c r="L11" s="22">
        <v>40005.1181</v>
      </c>
      <c r="M11" s="23">
        <v>1333.0783893399998</v>
      </c>
      <c r="N11" s="23">
        <v>0</v>
      </c>
      <c r="O11" s="21">
        <f t="shared" si="2"/>
        <v>41338.19648934</v>
      </c>
      <c r="P11" s="23">
        <v>59414.339999999967</v>
      </c>
      <c r="Q11" s="21">
        <f t="shared" si="3"/>
        <v>69.576126721831841</v>
      </c>
    </row>
    <row r="12" spans="1:17" ht="23.1" customHeight="1" x14ac:dyDescent="0.3">
      <c r="A12" s="24" t="s">
        <v>30</v>
      </c>
      <c r="B12" s="25">
        <v>3859</v>
      </c>
      <c r="C12" s="25">
        <v>6731.5333333333328</v>
      </c>
      <c r="D12" s="24">
        <v>3498.4269999999997</v>
      </c>
      <c r="E12" s="26">
        <v>517124</v>
      </c>
      <c r="F12" s="25">
        <v>497116.01199999976</v>
      </c>
      <c r="G12" s="25">
        <v>645594.89700000035</v>
      </c>
      <c r="H12" s="27">
        <f t="shared" si="0"/>
        <v>77.001230076327488</v>
      </c>
      <c r="I12" s="28">
        <v>2848.7640999999994</v>
      </c>
      <c r="J12" s="29"/>
      <c r="K12" s="27">
        <f t="shared" si="1"/>
        <v>2848.7640999999994</v>
      </c>
      <c r="L12" s="28">
        <v>49711.601199999983</v>
      </c>
      <c r="M12" s="29">
        <v>3460.4924540999996</v>
      </c>
      <c r="N12" s="29"/>
      <c r="O12" s="27">
        <f t="shared" si="2"/>
        <v>53172.093654099983</v>
      </c>
      <c r="P12" s="29">
        <v>73451.780000000042</v>
      </c>
      <c r="Q12" s="27">
        <f t="shared" si="3"/>
        <v>72.390476655705214</v>
      </c>
    </row>
    <row r="13" spans="1:17" ht="23.1" customHeight="1" x14ac:dyDescent="0.3">
      <c r="A13" s="18" t="s">
        <v>31</v>
      </c>
      <c r="B13" s="19">
        <v>8193</v>
      </c>
      <c r="C13" s="19">
        <v>15390.083333333336</v>
      </c>
      <c r="D13" s="18">
        <v>8278.0329999999994</v>
      </c>
      <c r="E13" s="20">
        <v>1177057</v>
      </c>
      <c r="F13" s="19">
        <v>1202927.878</v>
      </c>
      <c r="G13" s="19">
        <v>1475040.9539999987</v>
      </c>
      <c r="H13" s="21">
        <f t="shared" si="0"/>
        <v>81.552168076277084</v>
      </c>
      <c r="I13" s="22">
        <v>2518.538</v>
      </c>
      <c r="J13" s="23"/>
      <c r="K13" s="21">
        <f t="shared" si="1"/>
        <v>2518.538</v>
      </c>
      <c r="L13" s="22">
        <v>120292.78780000008</v>
      </c>
      <c r="M13" s="23">
        <v>2412.1008257000003</v>
      </c>
      <c r="N13" s="23"/>
      <c r="O13" s="21">
        <f t="shared" si="2"/>
        <v>122704.88862570008</v>
      </c>
      <c r="P13" s="23">
        <v>165560.66000000029</v>
      </c>
      <c r="Q13" s="21">
        <f t="shared" si="3"/>
        <v>74.114761698642582</v>
      </c>
    </row>
    <row r="14" spans="1:17" ht="23.1" customHeight="1" x14ac:dyDescent="0.3">
      <c r="A14" s="24" t="s">
        <v>32</v>
      </c>
      <c r="B14" s="25">
        <v>7951</v>
      </c>
      <c r="C14" s="25">
        <v>14771.700000000006</v>
      </c>
      <c r="D14" s="24">
        <v>7888.9639999999936</v>
      </c>
      <c r="E14" s="26">
        <v>1221495</v>
      </c>
      <c r="F14" s="25">
        <v>1233703.5620000027</v>
      </c>
      <c r="G14" s="25">
        <v>1404026.355999999</v>
      </c>
      <c r="H14" s="27">
        <f t="shared" si="0"/>
        <v>87.868974590673815</v>
      </c>
      <c r="I14" s="28">
        <v>3534.7854908136774</v>
      </c>
      <c r="J14" s="29">
        <v>0</v>
      </c>
      <c r="K14" s="27">
        <f t="shared" si="1"/>
        <v>3534.7854908136774</v>
      </c>
      <c r="L14" s="28">
        <v>123370.35619999998</v>
      </c>
      <c r="M14" s="29">
        <v>4185.9027729251648</v>
      </c>
      <c r="N14" s="29">
        <v>0</v>
      </c>
      <c r="O14" s="27">
        <f t="shared" si="2"/>
        <v>127556.25897292515</v>
      </c>
      <c r="P14" s="29">
        <v>157779.27999999994</v>
      </c>
      <c r="Q14" s="27">
        <f t="shared" si="3"/>
        <v>80.844746517366033</v>
      </c>
    </row>
    <row r="15" spans="1:17" ht="23.1" customHeight="1" x14ac:dyDescent="0.3">
      <c r="A15" s="31" t="s">
        <v>33</v>
      </c>
      <c r="B15" s="32">
        <v>8714</v>
      </c>
      <c r="C15" s="32">
        <v>16177.24999999998</v>
      </c>
      <c r="D15" s="33">
        <v>8636.586450083023</v>
      </c>
      <c r="E15" s="34">
        <v>1342308</v>
      </c>
      <c r="F15" s="32">
        <v>1342337.9276478279</v>
      </c>
      <c r="G15" s="32">
        <v>1544459.3890441558</v>
      </c>
      <c r="H15" s="35">
        <f t="shared" si="0"/>
        <v>86.913125535698413</v>
      </c>
      <c r="I15" s="36">
        <v>4304.0870791446887</v>
      </c>
      <c r="J15" s="37">
        <v>174.44065000000003</v>
      </c>
      <c r="K15" s="35">
        <f t="shared" si="1"/>
        <v>4478.5277291446891</v>
      </c>
      <c r="L15" s="36">
        <v>134233.79276478285</v>
      </c>
      <c r="M15" s="37">
        <v>4163.6806375562928</v>
      </c>
      <c r="N15" s="37">
        <v>135.58681301103869</v>
      </c>
      <c r="O15" s="35">
        <f t="shared" si="2"/>
        <v>138533.06021535018</v>
      </c>
      <c r="P15" s="23">
        <v>172731.72900166019</v>
      </c>
      <c r="Q15" s="21">
        <f t="shared" si="3"/>
        <v>80.201281499369856</v>
      </c>
    </row>
    <row r="16" spans="1:17" ht="23.1" customHeight="1" x14ac:dyDescent="0.3">
      <c r="A16" s="38" t="s">
        <v>34</v>
      </c>
      <c r="B16" s="39">
        <f t="shared" ref="B16:G16" si="4">SUM(B4:B15)</f>
        <v>48502</v>
      </c>
      <c r="C16" s="39">
        <f t="shared" si="4"/>
        <v>88549.316666666666</v>
      </c>
      <c r="D16" s="39">
        <f t="shared" si="4"/>
        <v>46319.733450083011</v>
      </c>
      <c r="E16" s="39">
        <f t="shared" si="4"/>
        <v>7042504</v>
      </c>
      <c r="F16" s="39">
        <f t="shared" si="4"/>
        <v>6955432.4866478303</v>
      </c>
      <c r="G16" s="39">
        <f t="shared" si="4"/>
        <v>8339091.8510441538</v>
      </c>
      <c r="H16" s="40">
        <f t="shared" si="0"/>
        <v>83.407553374974839</v>
      </c>
      <c r="I16" s="40">
        <f>SUM(I4:I15)</f>
        <v>18791.351469958365</v>
      </c>
      <c r="J16" s="40">
        <f>SUM(J4:J15)</f>
        <v>174.44065000000003</v>
      </c>
      <c r="K16" s="40">
        <f t="shared" si="1"/>
        <v>18965.792119958365</v>
      </c>
      <c r="L16" s="40">
        <f>SUM(L4:L15)</f>
        <v>643044.95556478284</v>
      </c>
      <c r="M16" s="40">
        <f>SUM(M4:M15)</f>
        <v>20025.738495971458</v>
      </c>
      <c r="N16" s="40">
        <f>SUM(N4:N15)</f>
        <v>135.58681301103869</v>
      </c>
      <c r="O16" s="40">
        <f t="shared" si="2"/>
        <v>663206.28087376535</v>
      </c>
      <c r="P16" s="41">
        <f>SUM(P4:P15)</f>
        <v>934876.22900166037</v>
      </c>
      <c r="Q16" s="41">
        <f t="shared" si="3"/>
        <v>70.940543817441267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3033</v>
      </c>
      <c r="C23" s="58">
        <v>12589.749999999998</v>
      </c>
      <c r="D23" s="59">
        <v>8207.0130000000026</v>
      </c>
      <c r="E23" s="57">
        <v>465221</v>
      </c>
      <c r="F23" s="58">
        <v>1266397.9719999994</v>
      </c>
      <c r="G23" s="58">
        <v>1533175.6079999993</v>
      </c>
      <c r="H23" s="60">
        <f t="shared" ref="H23:H35" si="5">IFERROR(F23/G23*100," ")</f>
        <v>82.599668648002648</v>
      </c>
      <c r="I23" s="61">
        <v>1090.1575000000003</v>
      </c>
      <c r="J23" s="61"/>
      <c r="K23" s="61">
        <f>IF(AND(ISBLANK(I23),ISBLANK(J23))=TRUE,"",I23+J23)</f>
        <v>1090.1575000000003</v>
      </c>
      <c r="L23" s="62">
        <v>89445.19395000003</v>
      </c>
      <c r="M23" s="61">
        <v>5630.1916824999998</v>
      </c>
      <c r="N23" s="61"/>
      <c r="O23" s="63">
        <f>IF(AND(ISBLANK(L23),ISBLANK(M23),ISBLANK(N23))=TRUE,"",L23+M23+N23)</f>
        <v>95075.385632500023</v>
      </c>
      <c r="P23" s="62">
        <v>163626.18000000002</v>
      </c>
      <c r="Q23" s="63">
        <f>IFERROR(O23/P23*100," ")</f>
        <v>58.105240636003366</v>
      </c>
    </row>
    <row r="24" spans="1:17" ht="23.1" customHeight="1" x14ac:dyDescent="0.3">
      <c r="A24" s="64" t="s">
        <v>23</v>
      </c>
      <c r="B24" s="65">
        <v>2910</v>
      </c>
      <c r="C24" s="64">
        <v>11970</v>
      </c>
      <c r="D24" s="66">
        <v>8008</v>
      </c>
      <c r="E24" s="65">
        <v>432768</v>
      </c>
      <c r="F24" s="64">
        <v>1181479.8420000004</v>
      </c>
      <c r="G24" s="64">
        <v>1491636.3300000008</v>
      </c>
      <c r="H24" s="67">
        <f t="shared" si="5"/>
        <v>79.206963402399822</v>
      </c>
      <c r="I24" s="68">
        <v>3156.4540000000002</v>
      </c>
      <c r="J24" s="68"/>
      <c r="K24" s="68">
        <f t="shared" ref="K24:K35" si="6">IF(AND(ISBLANK(I24),ISBLANK(J24))=TRUE,"",I24+J24)</f>
        <v>3156.4540000000002</v>
      </c>
      <c r="L24" s="69">
        <v>82105.137599999973</v>
      </c>
      <c r="M24" s="68">
        <v>5867.1474039999985</v>
      </c>
      <c r="N24" s="68"/>
      <c r="O24" s="67">
        <f t="shared" ref="O24:O35" si="7">IF(AND(ISBLANK(L24),ISBLANK(M24),ISBLANK(N24))=TRUE,"",L24+M24+N24)</f>
        <v>87972.285003999976</v>
      </c>
      <c r="P24" s="69">
        <v>156117.44000000006</v>
      </c>
      <c r="Q24" s="67">
        <f t="shared" ref="Q24:Q35" si="8">IFERROR(O24/P24*100," ")</f>
        <v>56.350068899413117</v>
      </c>
    </row>
    <row r="25" spans="1:17" ht="23.1" customHeight="1" x14ac:dyDescent="0.3">
      <c r="A25" s="56" t="s">
        <v>24</v>
      </c>
      <c r="B25" s="70">
        <v>3277</v>
      </c>
      <c r="C25" s="56">
        <v>13966.16666666667</v>
      </c>
      <c r="D25" s="71">
        <v>8912.7730000000029</v>
      </c>
      <c r="E25" s="70">
        <v>456971</v>
      </c>
      <c r="F25" s="56">
        <v>1267335.4850000001</v>
      </c>
      <c r="G25" s="56">
        <v>1696876.5459999994</v>
      </c>
      <c r="H25" s="60">
        <f t="shared" si="5"/>
        <v>74.686369375984086</v>
      </c>
      <c r="I25" s="72">
        <v>1509.8455000000004</v>
      </c>
      <c r="J25" s="72">
        <v>0</v>
      </c>
      <c r="K25" s="72">
        <f t="shared" si="6"/>
        <v>1509.8455000000004</v>
      </c>
      <c r="L25" s="73">
        <v>86218.562924999933</v>
      </c>
      <c r="M25" s="72">
        <v>7588.5873669999964</v>
      </c>
      <c r="N25" s="72"/>
      <c r="O25" s="60">
        <f t="shared" si="7"/>
        <v>93807.150291999933</v>
      </c>
      <c r="P25" s="73">
        <v>176680.13999999998</v>
      </c>
      <c r="Q25" s="60">
        <f t="shared" si="8"/>
        <v>53.094337763146406</v>
      </c>
    </row>
    <row r="26" spans="1:17" ht="23.1" customHeight="1" x14ac:dyDescent="0.3">
      <c r="A26" s="64" t="s">
        <v>25</v>
      </c>
      <c r="B26" s="65">
        <v>3218</v>
      </c>
      <c r="C26" s="64">
        <v>13309.416666666668</v>
      </c>
      <c r="D26" s="66">
        <v>8947.8199999999924</v>
      </c>
      <c r="E26" s="65">
        <v>470382</v>
      </c>
      <c r="F26" s="64">
        <v>1305198.391000001</v>
      </c>
      <c r="G26" s="64">
        <v>1658335.5539999993</v>
      </c>
      <c r="H26" s="67">
        <f t="shared" si="5"/>
        <v>78.705325219120368</v>
      </c>
      <c r="I26" s="68">
        <v>3210.2639999999992</v>
      </c>
      <c r="J26" s="68">
        <v>0</v>
      </c>
      <c r="K26" s="68">
        <f t="shared" si="6"/>
        <v>3210.2639999999992</v>
      </c>
      <c r="L26" s="69">
        <v>82093.287899999952</v>
      </c>
      <c r="M26" s="68">
        <v>6644.9196515000003</v>
      </c>
      <c r="N26" s="68">
        <v>0</v>
      </c>
      <c r="O26" s="67">
        <f t="shared" si="7"/>
        <v>88738.207551499945</v>
      </c>
      <c r="P26" s="69">
        <v>160979.99999999997</v>
      </c>
      <c r="Q26" s="67">
        <f t="shared" si="8"/>
        <v>55.123746770716828</v>
      </c>
    </row>
    <row r="27" spans="1:17" s="30" customFormat="1" ht="30" customHeight="1" x14ac:dyDescent="0.25">
      <c r="A27" s="56" t="s">
        <v>26</v>
      </c>
      <c r="B27" s="70">
        <v>3349</v>
      </c>
      <c r="C27" s="56">
        <v>13956.500000000004</v>
      </c>
      <c r="D27" s="71">
        <v>9214.6859999999942</v>
      </c>
      <c r="E27" s="70">
        <v>510024</v>
      </c>
      <c r="F27" s="56">
        <v>1406379.4190000007</v>
      </c>
      <c r="G27" s="56">
        <v>1720223.9550000017</v>
      </c>
      <c r="H27" s="60">
        <f t="shared" si="5"/>
        <v>81.755600188697485</v>
      </c>
      <c r="I27" s="72">
        <v>3326.8135000000016</v>
      </c>
      <c r="J27" s="72"/>
      <c r="K27" s="72">
        <f t="shared" si="6"/>
        <v>3326.8135000000016</v>
      </c>
      <c r="L27" s="73">
        <v>109062.31759999995</v>
      </c>
      <c r="M27" s="72">
        <v>6679.7421784999997</v>
      </c>
      <c r="N27" s="72"/>
      <c r="O27" s="60">
        <f t="shared" si="7"/>
        <v>115742.05977849996</v>
      </c>
      <c r="P27" s="73">
        <v>153367.19999999987</v>
      </c>
      <c r="Q27" s="60">
        <f t="shared" si="8"/>
        <v>75.467283603338956</v>
      </c>
    </row>
    <row r="28" spans="1:17" ht="23.1" customHeight="1" x14ac:dyDescent="0.3">
      <c r="A28" s="64" t="s">
        <v>27</v>
      </c>
      <c r="B28" s="65">
        <v>3562</v>
      </c>
      <c r="C28" s="64">
        <v>14701.833333333332</v>
      </c>
      <c r="D28" s="66">
        <v>9064.7360000000062</v>
      </c>
      <c r="E28" s="65">
        <v>480928</v>
      </c>
      <c r="F28" s="64">
        <v>1330398.8950000005</v>
      </c>
      <c r="G28" s="64">
        <v>1827410.3970000008</v>
      </c>
      <c r="H28" s="67">
        <f t="shared" si="5"/>
        <v>72.802414672920349</v>
      </c>
      <c r="I28" s="68">
        <v>3430.4700000000012</v>
      </c>
      <c r="J28" s="68"/>
      <c r="K28" s="68">
        <f t="shared" si="6"/>
        <v>3430.4700000000012</v>
      </c>
      <c r="L28" s="69">
        <v>92209.306450000004</v>
      </c>
      <c r="M28" s="68">
        <v>7098.4496004999992</v>
      </c>
      <c r="N28" s="68"/>
      <c r="O28" s="67">
        <f t="shared" si="7"/>
        <v>99307.7560505</v>
      </c>
      <c r="P28" s="69">
        <v>141759.82</v>
      </c>
      <c r="Q28" s="67">
        <f t="shared" si="8"/>
        <v>70.053528602462961</v>
      </c>
    </row>
    <row r="29" spans="1:17" ht="23.1" customHeight="1" x14ac:dyDescent="0.3">
      <c r="A29" s="56" t="s">
        <v>28</v>
      </c>
      <c r="B29" s="70">
        <v>3775</v>
      </c>
      <c r="C29" s="56">
        <v>14886.08333333333</v>
      </c>
      <c r="D29" s="71">
        <v>10356.281000000001</v>
      </c>
      <c r="E29" s="70">
        <v>521698</v>
      </c>
      <c r="F29" s="56">
        <v>1433402.9749999996</v>
      </c>
      <c r="G29" s="56">
        <v>1911825.9500000009</v>
      </c>
      <c r="H29" s="60">
        <f t="shared" si="5"/>
        <v>74.975599897051254</v>
      </c>
      <c r="I29" s="72">
        <v>3778.6855</v>
      </c>
      <c r="J29" s="72"/>
      <c r="K29" s="72">
        <f t="shared" si="6"/>
        <v>3778.6855</v>
      </c>
      <c r="L29" s="73">
        <v>107505.22312500005</v>
      </c>
      <c r="M29" s="72">
        <v>8049.0045359999986</v>
      </c>
      <c r="N29" s="72"/>
      <c r="O29" s="60">
        <f t="shared" si="7"/>
        <v>115554.22766100004</v>
      </c>
      <c r="P29" s="73">
        <v>207125.62000000005</v>
      </c>
      <c r="Q29" s="60">
        <f t="shared" si="8"/>
        <v>55.789442011567672</v>
      </c>
    </row>
    <row r="30" spans="1:17" ht="23.1" customHeight="1" x14ac:dyDescent="0.3">
      <c r="A30" s="64" t="s">
        <v>29</v>
      </c>
      <c r="B30" s="65">
        <v>3990</v>
      </c>
      <c r="C30" s="64">
        <v>14507.833333333341</v>
      </c>
      <c r="D30" s="66">
        <v>10976.955000000013</v>
      </c>
      <c r="E30" s="65">
        <v>522002</v>
      </c>
      <c r="F30" s="64">
        <v>1445382.6340000003</v>
      </c>
      <c r="G30" s="64">
        <v>2014714.0960000004</v>
      </c>
      <c r="H30" s="67">
        <f t="shared" si="5"/>
        <v>71.741327311386428</v>
      </c>
      <c r="I30" s="68">
        <v>3803.7563000000014</v>
      </c>
      <c r="J30" s="68"/>
      <c r="K30" s="68">
        <f t="shared" si="6"/>
        <v>3803.7563000000014</v>
      </c>
      <c r="L30" s="69">
        <v>108403.69755000006</v>
      </c>
      <c r="M30" s="68">
        <v>9546.4111102000006</v>
      </c>
      <c r="N30" s="68"/>
      <c r="O30" s="67">
        <f t="shared" si="7"/>
        <v>117950.10866020006</v>
      </c>
      <c r="P30" s="69">
        <v>219539.10000000027</v>
      </c>
      <c r="Q30" s="67">
        <f t="shared" si="8"/>
        <v>53.726242232112597</v>
      </c>
    </row>
    <row r="31" spans="1:17" ht="23.1" customHeight="1" x14ac:dyDescent="0.3">
      <c r="A31" s="56" t="s">
        <v>30</v>
      </c>
      <c r="B31" s="70">
        <v>3816</v>
      </c>
      <c r="C31" s="56">
        <v>13168.916666666662</v>
      </c>
      <c r="D31" s="71">
        <v>10575.180000000011</v>
      </c>
      <c r="E31" s="70">
        <v>484132</v>
      </c>
      <c r="F31" s="56">
        <v>1350511.3280000002</v>
      </c>
      <c r="G31" s="56">
        <v>1942315.1130000022</v>
      </c>
      <c r="H31" s="60">
        <f t="shared" si="5"/>
        <v>69.531010646056728</v>
      </c>
      <c r="I31" s="72">
        <v>6461.7085000000025</v>
      </c>
      <c r="J31" s="72"/>
      <c r="K31" s="72">
        <f t="shared" si="6"/>
        <v>6461.7085000000025</v>
      </c>
      <c r="L31" s="73">
        <v>101288.34959999991</v>
      </c>
      <c r="M31" s="72">
        <v>9571.7993258000006</v>
      </c>
      <c r="N31" s="72"/>
      <c r="O31" s="60">
        <f t="shared" si="7"/>
        <v>110860.14892579992</v>
      </c>
      <c r="P31" s="73">
        <v>211503.60000000021</v>
      </c>
      <c r="Q31" s="60">
        <f t="shared" si="8"/>
        <v>52.41525388967365</v>
      </c>
    </row>
    <row r="32" spans="1:17" ht="23.1" customHeight="1" x14ac:dyDescent="0.3">
      <c r="A32" s="64" t="s">
        <v>31</v>
      </c>
      <c r="B32" s="65">
        <v>3849</v>
      </c>
      <c r="C32" s="64">
        <v>12532.583333333319</v>
      </c>
      <c r="D32" s="66">
        <v>10648.855999999991</v>
      </c>
      <c r="E32" s="65">
        <v>502743</v>
      </c>
      <c r="F32" s="64">
        <v>1388714.5509999981</v>
      </c>
      <c r="G32" s="64">
        <v>1955233.759000001</v>
      </c>
      <c r="H32" s="67">
        <f t="shared" si="5"/>
        <v>71.025499872212322</v>
      </c>
      <c r="I32" s="68"/>
      <c r="J32" s="68"/>
      <c r="K32" s="68" t="str">
        <f t="shared" si="6"/>
        <v/>
      </c>
      <c r="L32" s="69">
        <v>102152.31195000002</v>
      </c>
      <c r="M32" s="68"/>
      <c r="N32" s="68"/>
      <c r="O32" s="67">
        <f t="shared" si="7"/>
        <v>102152.31195000002</v>
      </c>
      <c r="P32" s="69">
        <v>212977.12000000034</v>
      </c>
      <c r="Q32" s="67">
        <f t="shared" si="8"/>
        <v>47.963984088995034</v>
      </c>
    </row>
    <row r="33" spans="1:17" ht="23.1" customHeight="1" x14ac:dyDescent="0.3">
      <c r="A33" s="56" t="s">
        <v>32</v>
      </c>
      <c r="B33" s="70">
        <v>3597</v>
      </c>
      <c r="C33" s="56">
        <v>11413.999999999993</v>
      </c>
      <c r="D33" s="71">
        <v>8001.6969999999937</v>
      </c>
      <c r="E33" s="70">
        <v>508747</v>
      </c>
      <c r="F33" s="56">
        <v>1394781.4969999993</v>
      </c>
      <c r="G33" s="56">
        <v>1823002.2239999995</v>
      </c>
      <c r="H33" s="60">
        <f t="shared" si="5"/>
        <v>76.510136885055147</v>
      </c>
      <c r="I33" s="72">
        <v>6155.9583999999959</v>
      </c>
      <c r="J33" s="72"/>
      <c r="K33" s="72">
        <f t="shared" si="6"/>
        <v>6155.9583999999959</v>
      </c>
      <c r="L33" s="73">
        <v>104608.61227500005</v>
      </c>
      <c r="M33" s="72">
        <v>10688.671127299996</v>
      </c>
      <c r="N33" s="72"/>
      <c r="O33" s="60">
        <f t="shared" si="7"/>
        <v>115297.28340230005</v>
      </c>
      <c r="P33" s="73">
        <v>198190.16000000006</v>
      </c>
      <c r="Q33" s="60">
        <f t="shared" si="8"/>
        <v>58.175079631753668</v>
      </c>
    </row>
    <row r="34" spans="1:17" ht="23.1" customHeight="1" x14ac:dyDescent="0.3">
      <c r="A34" s="64" t="s">
        <v>33</v>
      </c>
      <c r="B34" s="74">
        <v>4012</v>
      </c>
      <c r="C34" s="75">
        <v>13169.749999999996</v>
      </c>
      <c r="D34" s="76">
        <v>11050.44419946478</v>
      </c>
      <c r="E34" s="74">
        <v>548022</v>
      </c>
      <c r="F34" s="75">
        <v>1517643.3470077538</v>
      </c>
      <c r="G34" s="75">
        <v>2020704.3341058013</v>
      </c>
      <c r="H34" s="67">
        <f t="shared" si="5"/>
        <v>75.10467124718366</v>
      </c>
      <c r="I34" s="77">
        <v>7255.3947996205179</v>
      </c>
      <c r="J34" s="77">
        <v>23.296799999999998</v>
      </c>
      <c r="K34" s="77">
        <f t="shared" si="6"/>
        <v>7278.691599620518</v>
      </c>
      <c r="L34" s="78">
        <v>114898.2008411635</v>
      </c>
      <c r="M34" s="77">
        <v>18592.367972812131</v>
      </c>
      <c r="N34" s="77">
        <v>23.171317499999997</v>
      </c>
      <c r="O34" s="79">
        <f t="shared" si="7"/>
        <v>133513.74013147564</v>
      </c>
      <c r="P34" s="78">
        <v>221008.88398929543</v>
      </c>
      <c r="Q34" s="79">
        <f t="shared" si="8"/>
        <v>60.41102860731263</v>
      </c>
    </row>
    <row r="35" spans="1:17" ht="23.1" customHeight="1" x14ac:dyDescent="0.3">
      <c r="A35" s="80" t="s">
        <v>34</v>
      </c>
      <c r="B35" s="81">
        <f t="shared" ref="B35:G35" si="9">SUM(B23:B34)</f>
        <v>42388</v>
      </c>
      <c r="C35" s="81">
        <f t="shared" si="9"/>
        <v>160172.83333333331</v>
      </c>
      <c r="D35" s="81">
        <f t="shared" si="9"/>
        <v>113964.44119946478</v>
      </c>
      <c r="E35" s="81">
        <f t="shared" si="9"/>
        <v>5903638</v>
      </c>
      <c r="F35" s="81">
        <f t="shared" si="9"/>
        <v>16287626.336007752</v>
      </c>
      <c r="G35" s="81">
        <f t="shared" si="9"/>
        <v>21595453.866105806</v>
      </c>
      <c r="H35" s="82">
        <f t="shared" si="5"/>
        <v>75.421551392218149</v>
      </c>
      <c r="I35" s="83">
        <f>SUM(I23:I34)</f>
        <v>43179.507999620524</v>
      </c>
      <c r="J35" s="83">
        <f>SUM(J23:J34)</f>
        <v>23.296799999999998</v>
      </c>
      <c r="K35" s="83">
        <f t="shared" si="6"/>
        <v>43202.80479962052</v>
      </c>
      <c r="L35" s="83">
        <f>SUM(L23:L34)</f>
        <v>1179990.2017661633</v>
      </c>
      <c r="M35" s="83">
        <f>SUM(M23:M34)</f>
        <v>95957.291956112138</v>
      </c>
      <c r="N35" s="83">
        <f>SUM(N23:N34)</f>
        <v>23.171317499999997</v>
      </c>
      <c r="O35" s="83">
        <f t="shared" si="7"/>
        <v>1275970.6650397754</v>
      </c>
      <c r="P35" s="83">
        <f>SUM(P23:P34)</f>
        <v>2222875.2639892963</v>
      </c>
      <c r="Q35" s="83">
        <f t="shared" si="8"/>
        <v>57.401811325654286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2</v>
      </c>
      <c r="C42" s="94">
        <v>1.8333333333333333</v>
      </c>
      <c r="D42" s="95">
        <v>0.55200000000000005</v>
      </c>
      <c r="E42" s="93">
        <v>12</v>
      </c>
      <c r="F42" s="94">
        <v>3.3119999999999998</v>
      </c>
      <c r="G42" s="94">
        <v>104.328</v>
      </c>
      <c r="H42" s="96">
        <f t="shared" ref="H42:H54" si="10">IFERROR(F42/G42*100," ")</f>
        <v>3.1746031746031744</v>
      </c>
      <c r="I42" s="97"/>
      <c r="J42" s="98"/>
      <c r="K42" s="96" t="str">
        <f>IF(AND(ISBLANK(I42),ISBLANK(J42))=TRUE,"",I42+J42)</f>
        <v/>
      </c>
      <c r="L42" s="97">
        <v>0.24840000000000001</v>
      </c>
      <c r="M42" s="98"/>
      <c r="N42" s="98"/>
      <c r="O42" s="96">
        <f>IF(AND(ISBLANK(L42),ISBLANK(M42),ISBLANK(N42))=TRUE,"",L42+M42+N42)</f>
        <v>0.24840000000000001</v>
      </c>
      <c r="P42" s="97">
        <v>11.04</v>
      </c>
      <c r="Q42" s="96">
        <f>IFERROR(O42/P42*100," ")</f>
        <v>2.2500000000000004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>
        <v>2</v>
      </c>
      <c r="C44" s="107">
        <v>1.8333333333333333</v>
      </c>
      <c r="D44" s="108">
        <v>0.55200000000000005</v>
      </c>
      <c r="E44" s="106">
        <v>10</v>
      </c>
      <c r="F44" s="107">
        <v>2.76</v>
      </c>
      <c r="G44" s="107">
        <v>97.152000000000001</v>
      </c>
      <c r="H44" s="109">
        <f t="shared" si="10"/>
        <v>2.8409090909090908</v>
      </c>
      <c r="I44" s="110">
        <v>0</v>
      </c>
      <c r="J44" s="111">
        <v>0</v>
      </c>
      <c r="K44" s="109">
        <f t="shared" si="11"/>
        <v>0</v>
      </c>
      <c r="L44" s="110">
        <v>0.20700000000000002</v>
      </c>
      <c r="M44" s="111">
        <v>0</v>
      </c>
      <c r="N44" s="111">
        <v>0</v>
      </c>
      <c r="O44" s="109">
        <f t="shared" si="12"/>
        <v>0.20700000000000002</v>
      </c>
      <c r="P44" s="110">
        <v>11.04</v>
      </c>
      <c r="Q44" s="109">
        <f t="shared" si="13"/>
        <v>1.8750000000000002</v>
      </c>
    </row>
    <row r="45" spans="1:17" ht="25.5" customHeight="1" x14ac:dyDescent="0.3">
      <c r="A45" s="99" t="s">
        <v>25</v>
      </c>
      <c r="B45" s="100">
        <v>2</v>
      </c>
      <c r="C45" s="112">
        <v>2</v>
      </c>
      <c r="D45" s="102">
        <v>0.94799999999999995</v>
      </c>
      <c r="E45" s="100">
        <v>329</v>
      </c>
      <c r="F45" s="101">
        <v>155.946</v>
      </c>
      <c r="G45" s="101">
        <v>166.84800000000001</v>
      </c>
      <c r="H45" s="103">
        <f t="shared" si="10"/>
        <v>93.465909090909079</v>
      </c>
      <c r="I45" s="104">
        <v>0</v>
      </c>
      <c r="J45" s="105">
        <v>0</v>
      </c>
      <c r="K45" s="103">
        <f t="shared" si="11"/>
        <v>0</v>
      </c>
      <c r="L45" s="104">
        <v>11.69595</v>
      </c>
      <c r="M45" s="105">
        <v>0</v>
      </c>
      <c r="N45" s="105">
        <v>0</v>
      </c>
      <c r="O45" s="103">
        <f t="shared" si="12"/>
        <v>11.69595</v>
      </c>
      <c r="P45" s="104">
        <v>18.96</v>
      </c>
      <c r="Q45" s="103">
        <f t="shared" si="13"/>
        <v>61.687499999999993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>
        <v>2</v>
      </c>
      <c r="C47" s="115">
        <v>1.8333333333333333</v>
      </c>
      <c r="D47" s="102">
        <v>0.55200000000000005</v>
      </c>
      <c r="E47" s="114">
        <v>9</v>
      </c>
      <c r="F47" s="115">
        <v>2.484</v>
      </c>
      <c r="G47" s="115">
        <v>97.152000000000001</v>
      </c>
      <c r="H47" s="103">
        <f t="shared" si="10"/>
        <v>2.5568181818181817</v>
      </c>
      <c r="I47" s="116"/>
      <c r="J47" s="117"/>
      <c r="K47" s="103" t="str">
        <f t="shared" si="11"/>
        <v/>
      </c>
      <c r="L47" s="116">
        <v>0.18629999999999999</v>
      </c>
      <c r="M47" s="117"/>
      <c r="N47" s="117"/>
      <c r="O47" s="103">
        <f t="shared" si="12"/>
        <v>0.18629999999999999</v>
      </c>
      <c r="P47" s="116">
        <v>11.04</v>
      </c>
      <c r="Q47" s="103">
        <f t="shared" si="13"/>
        <v>1.6875</v>
      </c>
    </row>
    <row r="48" spans="1:17" s="125" customFormat="1" ht="25.5" customHeight="1" x14ac:dyDescent="0.3">
      <c r="A48" s="118" t="s">
        <v>28</v>
      </c>
      <c r="B48" s="119">
        <v>2</v>
      </c>
      <c r="C48" s="120">
        <v>1.8333333333333333</v>
      </c>
      <c r="D48" s="121">
        <v>0.55200000000000005</v>
      </c>
      <c r="E48" s="119">
        <v>10</v>
      </c>
      <c r="F48" s="120">
        <v>2.76</v>
      </c>
      <c r="G48" s="120">
        <v>97.152000000000001</v>
      </c>
      <c r="H48" s="122">
        <f t="shared" si="10"/>
        <v>2.8409090909090908</v>
      </c>
      <c r="I48" s="123"/>
      <c r="J48" s="124"/>
      <c r="K48" s="122" t="str">
        <f t="shared" si="11"/>
        <v/>
      </c>
      <c r="L48" s="123">
        <v>0.20700000000000002</v>
      </c>
      <c r="M48" s="124"/>
      <c r="N48" s="124"/>
      <c r="O48" s="122">
        <f t="shared" si="12"/>
        <v>0.20700000000000002</v>
      </c>
      <c r="P48" s="123">
        <v>11.04</v>
      </c>
      <c r="Q48" s="122">
        <f t="shared" si="13"/>
        <v>1.8750000000000002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>
        <v>117</v>
      </c>
      <c r="C51" s="115">
        <v>154.9</v>
      </c>
      <c r="D51" s="126">
        <v>72.329000000000008</v>
      </c>
      <c r="E51" s="114">
        <v>18350</v>
      </c>
      <c r="F51" s="115">
        <v>11379.953</v>
      </c>
      <c r="G51" s="115">
        <v>13237.031999999999</v>
      </c>
      <c r="H51" s="103">
        <f t="shared" si="10"/>
        <v>85.970578601003609</v>
      </c>
      <c r="I51" s="116"/>
      <c r="J51" s="117"/>
      <c r="K51" s="103" t="str">
        <f t="shared" si="11"/>
        <v/>
      </c>
      <c r="L51" s="116">
        <v>853.49647500000003</v>
      </c>
      <c r="M51" s="117"/>
      <c r="N51" s="117"/>
      <c r="O51" s="103">
        <f t="shared" si="12"/>
        <v>853.49647500000003</v>
      </c>
      <c r="P51" s="116">
        <v>1446.58</v>
      </c>
      <c r="Q51" s="103">
        <f t="shared" si="13"/>
        <v>59.000986810269737</v>
      </c>
    </row>
    <row r="52" spans="1:17" ht="25.5" customHeight="1" x14ac:dyDescent="0.3">
      <c r="A52" s="92" t="s">
        <v>32</v>
      </c>
      <c r="B52" s="127">
        <v>112</v>
      </c>
      <c r="C52" s="128">
        <v>149.16666666666666</v>
      </c>
      <c r="D52" s="129">
        <v>69.816000000000003</v>
      </c>
      <c r="E52" s="127">
        <v>19081</v>
      </c>
      <c r="F52" s="128">
        <v>11901.841</v>
      </c>
      <c r="G52" s="128">
        <v>12682.26</v>
      </c>
      <c r="H52" s="109">
        <f t="shared" si="10"/>
        <v>93.846372807370287</v>
      </c>
      <c r="I52" s="130">
        <v>0</v>
      </c>
      <c r="J52" s="131">
        <v>0</v>
      </c>
      <c r="K52" s="109">
        <f t="shared" si="11"/>
        <v>0</v>
      </c>
      <c r="L52" s="130">
        <v>892.63807499999996</v>
      </c>
      <c r="M52" s="131">
        <v>0</v>
      </c>
      <c r="N52" s="131">
        <v>0</v>
      </c>
      <c r="O52" s="109">
        <f t="shared" si="12"/>
        <v>892.63807499999996</v>
      </c>
      <c r="P52" s="130">
        <v>1396.3200000000002</v>
      </c>
      <c r="Q52" s="109">
        <f t="shared" si="13"/>
        <v>63.927901555517352</v>
      </c>
    </row>
    <row r="53" spans="1:17" ht="25.5" customHeight="1" x14ac:dyDescent="0.3">
      <c r="A53" s="99" t="s">
        <v>33</v>
      </c>
      <c r="B53" s="132">
        <v>122</v>
      </c>
      <c r="C53" s="133">
        <v>164.25</v>
      </c>
      <c r="D53" s="134">
        <v>76.416000000000011</v>
      </c>
      <c r="E53" s="132">
        <v>20347</v>
      </c>
      <c r="F53" s="133">
        <v>12872.539000000001</v>
      </c>
      <c r="G53" s="133">
        <v>14101.164000000001</v>
      </c>
      <c r="H53" s="135">
        <f t="shared" si="10"/>
        <v>91.287066798173541</v>
      </c>
      <c r="I53" s="136"/>
      <c r="J53" s="137"/>
      <c r="K53" s="135" t="str">
        <f t="shared" si="11"/>
        <v/>
      </c>
      <c r="L53" s="136">
        <v>965.440425</v>
      </c>
      <c r="M53" s="137"/>
      <c r="N53" s="137"/>
      <c r="O53" s="135">
        <f t="shared" si="12"/>
        <v>965.440425</v>
      </c>
      <c r="P53" s="136">
        <v>1528.3200000000002</v>
      </c>
      <c r="Q53" s="135">
        <f t="shared" si="13"/>
        <v>63.170044558731156</v>
      </c>
    </row>
    <row r="54" spans="1:17" ht="25.5" customHeight="1" x14ac:dyDescent="0.3">
      <c r="A54" s="138" t="s">
        <v>34</v>
      </c>
      <c r="B54" s="139">
        <f t="shared" ref="B54:G54" si="14">SUM(B42:B53)</f>
        <v>361</v>
      </c>
      <c r="C54" s="139">
        <f t="shared" si="14"/>
        <v>477.65</v>
      </c>
      <c r="D54" s="139">
        <f t="shared" si="14"/>
        <v>221.71700000000004</v>
      </c>
      <c r="E54" s="139">
        <f t="shared" si="14"/>
        <v>58148</v>
      </c>
      <c r="F54" s="139">
        <f t="shared" si="14"/>
        <v>36321.595000000001</v>
      </c>
      <c r="G54" s="139">
        <f t="shared" si="14"/>
        <v>40583.088000000003</v>
      </c>
      <c r="H54" s="140">
        <f t="shared" si="10"/>
        <v>89.499337753696807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2724.1196250000003</v>
      </c>
      <c r="M54" s="140">
        <f>SUM(M42:M53)</f>
        <v>0</v>
      </c>
      <c r="N54" s="140">
        <f>SUM(N42:N53)</f>
        <v>0</v>
      </c>
      <c r="O54" s="140">
        <f t="shared" si="12"/>
        <v>2724.1196250000003</v>
      </c>
      <c r="P54" s="141">
        <f>SUM(P42:P53)</f>
        <v>4434.34</v>
      </c>
      <c r="Q54" s="140">
        <f t="shared" si="13"/>
        <v>61.432358028477751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2025-01-16T08:58:59Z</dcterms:created>
  <dcterms:modified xsi:type="dcterms:W3CDTF">2025-01-16T08:59:19Z</dcterms:modified>
</cp:coreProperties>
</file>