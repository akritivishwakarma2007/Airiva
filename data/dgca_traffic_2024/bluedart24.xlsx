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eep Verma\Desktop\Nitin Soni, JSO\December 2024\Excel December  2024\"/>
    </mc:Choice>
  </mc:AlternateContent>
  <bookViews>
    <workbookView xWindow="0" yWindow="0" windowWidth="24000" windowHeight="9135"/>
  </bookViews>
  <sheets>
    <sheet name="Monthly_Template" sheetId="2" r:id="rId1"/>
    <sheet name="Sheet1" sheetId="1" r:id="rId2"/>
  </sheets>
  <externalReferences>
    <externalReference r:id="rId3"/>
  </externalReferences>
  <definedNames>
    <definedName name="\a" localSheetId="0">Monthly_Template!#REF!</definedName>
    <definedName name="\a">#REF!</definedName>
    <definedName name="\b" localSheetId="0">Monthly_Template!#REF!</definedName>
    <definedName name="\b">#REF!</definedName>
    <definedName name="\c">#N/A</definedName>
    <definedName name="\d" localSheetId="0">Monthly_Template!#REF!</definedName>
    <definedName name="\d">#REF!</definedName>
    <definedName name="\e" localSheetId="0">Monthly_Template!#REF!</definedName>
    <definedName name="\e">#REF!</definedName>
    <definedName name="\f" localSheetId="0">Monthly_Template!#REF!</definedName>
    <definedName name="\f">#REF!</definedName>
    <definedName name="\g" localSheetId="0">Monthly_Template!#REF!</definedName>
    <definedName name="\g">#REF!</definedName>
    <definedName name="\h" localSheetId="0">Monthly_Template!#REF!</definedName>
    <definedName name="\h">#REF!</definedName>
    <definedName name="\i" localSheetId="0">Monthly_Template!#REF!</definedName>
    <definedName name="\i">#REF!</definedName>
    <definedName name="\j" localSheetId="0">Monthly_Template!#REF!</definedName>
    <definedName name="\j">#REF!</definedName>
    <definedName name="\k" localSheetId="0">Monthly_Template!#REF!</definedName>
    <definedName name="\k">#REF!</definedName>
    <definedName name="\l">#N/A</definedName>
    <definedName name="\m" localSheetId="0">Monthly_Template!#REF!</definedName>
    <definedName name="\m">#REF!</definedName>
    <definedName name="\p" localSheetId="0">Monthly_Template!#REF!</definedName>
    <definedName name="\p">#REF!</definedName>
    <definedName name="\x" localSheetId="0">Monthly_Template!$C$172</definedName>
    <definedName name="\x">#REF!</definedName>
    <definedName name="_Regression_Int" localSheetId="0" hidden="1">1</definedName>
    <definedName name="airline">[1]Interface!$AT$7:$AT$34</definedName>
    <definedName name="data">[1]Interface!$AR$7:$AR$21</definedName>
    <definedName name="_xlnm.Print_Area" localSheetId="0">Monthly_Template!$A$1:$Q$76</definedName>
    <definedName name="Print_Area_MI" localSheetId="0">Monthly_Template!$A$1:$Q$17</definedName>
    <definedName name="row">[1]Interface!$AQ$7:$AQ$14</definedName>
    <definedName name="toatalpvt">#REF!</definedName>
    <definedName name="totalnat">#REF!</definedName>
    <definedName name="totalpvt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73" i="2" l="1"/>
  <c r="N73" i="2"/>
  <c r="M73" i="2"/>
  <c r="L73" i="2"/>
  <c r="O73" i="2" s="1"/>
  <c r="Q73" i="2" s="1"/>
  <c r="J73" i="2"/>
  <c r="K73" i="2" s="1"/>
  <c r="I73" i="2"/>
  <c r="G73" i="2"/>
  <c r="F73" i="2"/>
  <c r="H73" i="2" s="1"/>
  <c r="E73" i="2"/>
  <c r="D73" i="2"/>
  <c r="C73" i="2"/>
  <c r="B73" i="2"/>
  <c r="O72" i="2"/>
  <c r="Q72" i="2" s="1"/>
  <c r="K72" i="2"/>
  <c r="H72" i="2"/>
  <c r="O71" i="2"/>
  <c r="Q71" i="2" s="1"/>
  <c r="K71" i="2"/>
  <c r="H71" i="2"/>
  <c r="O70" i="2"/>
  <c r="Q70" i="2" s="1"/>
  <c r="K70" i="2"/>
  <c r="H70" i="2"/>
  <c r="Q69" i="2"/>
  <c r="O69" i="2"/>
  <c r="K69" i="2"/>
  <c r="H69" i="2"/>
  <c r="O68" i="2"/>
  <c r="Q68" i="2" s="1"/>
  <c r="K68" i="2"/>
  <c r="H68" i="2"/>
  <c r="Q67" i="2"/>
  <c r="O67" i="2"/>
  <c r="K67" i="2"/>
  <c r="H67" i="2"/>
  <c r="O66" i="2"/>
  <c r="Q66" i="2" s="1"/>
  <c r="K66" i="2"/>
  <c r="H66" i="2"/>
  <c r="Q65" i="2"/>
  <c r="O65" i="2"/>
  <c r="K65" i="2"/>
  <c r="H65" i="2"/>
  <c r="O64" i="2"/>
  <c r="Q64" i="2" s="1"/>
  <c r="K64" i="2"/>
  <c r="H64" i="2"/>
  <c r="Q63" i="2"/>
  <c r="O63" i="2"/>
  <c r="K63" i="2"/>
  <c r="H63" i="2"/>
  <c r="O62" i="2"/>
  <c r="Q62" i="2" s="1"/>
  <c r="K62" i="2"/>
  <c r="H62" i="2"/>
  <c r="Q61" i="2"/>
  <c r="O61" i="2"/>
  <c r="K61" i="2"/>
  <c r="H61" i="2"/>
  <c r="P54" i="2"/>
  <c r="N54" i="2"/>
  <c r="M54" i="2"/>
  <c r="L54" i="2"/>
  <c r="O54" i="2" s="1"/>
  <c r="Q54" i="2" s="1"/>
  <c r="J54" i="2"/>
  <c r="K54" i="2" s="1"/>
  <c r="I54" i="2"/>
  <c r="H54" i="2"/>
  <c r="G54" i="2"/>
  <c r="F54" i="2"/>
  <c r="E54" i="2"/>
  <c r="D54" i="2"/>
  <c r="C54" i="2"/>
  <c r="B54" i="2"/>
  <c r="O53" i="2"/>
  <c r="Q53" i="2" s="1"/>
  <c r="K53" i="2"/>
  <c r="H53" i="2"/>
  <c r="Q52" i="2"/>
  <c r="O52" i="2"/>
  <c r="K52" i="2"/>
  <c r="H52" i="2"/>
  <c r="O51" i="2"/>
  <c r="Q51" i="2" s="1"/>
  <c r="K51" i="2"/>
  <c r="H51" i="2"/>
  <c r="Q50" i="2"/>
  <c r="O50" i="2"/>
  <c r="K50" i="2"/>
  <c r="H50" i="2"/>
  <c r="O49" i="2"/>
  <c r="Q49" i="2" s="1"/>
  <c r="K49" i="2"/>
  <c r="H49" i="2"/>
  <c r="Q48" i="2"/>
  <c r="O48" i="2"/>
  <c r="K48" i="2"/>
  <c r="H48" i="2"/>
  <c r="O47" i="2"/>
  <c r="Q47" i="2" s="1"/>
  <c r="K47" i="2"/>
  <c r="H47" i="2"/>
  <c r="Q46" i="2"/>
  <c r="O46" i="2"/>
  <c r="K46" i="2"/>
  <c r="H46" i="2"/>
  <c r="O45" i="2"/>
  <c r="Q45" i="2" s="1"/>
  <c r="K45" i="2"/>
  <c r="H45" i="2"/>
  <c r="Q44" i="2"/>
  <c r="O44" i="2"/>
  <c r="K44" i="2"/>
  <c r="H44" i="2"/>
  <c r="O43" i="2"/>
  <c r="Q43" i="2" s="1"/>
  <c r="K43" i="2"/>
  <c r="H43" i="2"/>
  <c r="Q42" i="2"/>
  <c r="O42" i="2"/>
  <c r="K42" i="2"/>
  <c r="H42" i="2"/>
  <c r="P35" i="2"/>
  <c r="N35" i="2"/>
  <c r="M35" i="2"/>
  <c r="L35" i="2"/>
  <c r="O35" i="2" s="1"/>
  <c r="Q35" i="2" s="1"/>
  <c r="J35" i="2"/>
  <c r="K35" i="2" s="1"/>
  <c r="I35" i="2"/>
  <c r="H35" i="2"/>
  <c r="G35" i="2"/>
  <c r="F35" i="2"/>
  <c r="E35" i="2"/>
  <c r="D35" i="2"/>
  <c r="C35" i="2"/>
  <c r="B35" i="2"/>
  <c r="O34" i="2"/>
  <c r="Q34" i="2" s="1"/>
  <c r="K34" i="2"/>
  <c r="H34" i="2"/>
  <c r="Q33" i="2"/>
  <c r="O33" i="2"/>
  <c r="K33" i="2"/>
  <c r="H33" i="2"/>
  <c r="O32" i="2"/>
  <c r="Q32" i="2" s="1"/>
  <c r="K32" i="2"/>
  <c r="H32" i="2"/>
  <c r="Q31" i="2"/>
  <c r="O31" i="2"/>
  <c r="K31" i="2"/>
  <c r="H31" i="2"/>
  <c r="O30" i="2"/>
  <c r="Q30" i="2" s="1"/>
  <c r="K30" i="2"/>
  <c r="H30" i="2"/>
  <c r="Q29" i="2"/>
  <c r="O29" i="2"/>
  <c r="K29" i="2"/>
  <c r="H29" i="2"/>
  <c r="O28" i="2"/>
  <c r="Q28" i="2" s="1"/>
  <c r="K28" i="2"/>
  <c r="H28" i="2"/>
  <c r="Q27" i="2"/>
  <c r="O27" i="2"/>
  <c r="K27" i="2"/>
  <c r="H27" i="2"/>
  <c r="O26" i="2"/>
  <c r="Q26" i="2" s="1"/>
  <c r="K26" i="2"/>
  <c r="H26" i="2"/>
  <c r="Q25" i="2"/>
  <c r="O25" i="2"/>
  <c r="K25" i="2"/>
  <c r="H25" i="2"/>
  <c r="O24" i="2"/>
  <c r="Q24" i="2" s="1"/>
  <c r="K24" i="2"/>
  <c r="H24" i="2"/>
  <c r="O23" i="2"/>
  <c r="Q23" i="2" s="1"/>
  <c r="K23" i="2"/>
  <c r="H23" i="2"/>
  <c r="P16" i="2"/>
  <c r="N16" i="2"/>
  <c r="M16" i="2"/>
  <c r="L16" i="2"/>
  <c r="O16" i="2" s="1"/>
  <c r="Q16" i="2" s="1"/>
  <c r="J16" i="2"/>
  <c r="K16" i="2" s="1"/>
  <c r="I16" i="2"/>
  <c r="H16" i="2"/>
  <c r="G16" i="2"/>
  <c r="F16" i="2"/>
  <c r="E16" i="2"/>
  <c r="D16" i="2"/>
  <c r="C16" i="2"/>
  <c r="B16" i="2"/>
  <c r="O15" i="2"/>
  <c r="Q15" i="2" s="1"/>
  <c r="K15" i="2"/>
  <c r="H15" i="2"/>
  <c r="O14" i="2"/>
  <c r="Q14" i="2" s="1"/>
  <c r="K14" i="2"/>
  <c r="H14" i="2"/>
  <c r="O13" i="2"/>
  <c r="Q13" i="2" s="1"/>
  <c r="K13" i="2"/>
  <c r="H13" i="2"/>
  <c r="O12" i="2"/>
  <c r="Q12" i="2" s="1"/>
  <c r="K12" i="2"/>
  <c r="H12" i="2"/>
  <c r="O11" i="2"/>
  <c r="Q11" i="2" s="1"/>
  <c r="K11" i="2"/>
  <c r="H11" i="2"/>
  <c r="O10" i="2"/>
  <c r="Q10" i="2" s="1"/>
  <c r="K10" i="2"/>
  <c r="H10" i="2"/>
  <c r="O9" i="2"/>
  <c r="Q9" i="2" s="1"/>
  <c r="K9" i="2"/>
  <c r="H9" i="2"/>
  <c r="O8" i="2"/>
  <c r="Q8" i="2" s="1"/>
  <c r="K8" i="2"/>
  <c r="H8" i="2"/>
  <c r="O7" i="2"/>
  <c r="Q7" i="2" s="1"/>
  <c r="K7" i="2"/>
  <c r="H7" i="2"/>
  <c r="O6" i="2"/>
  <c r="Q6" i="2" s="1"/>
  <c r="K6" i="2"/>
  <c r="H6" i="2"/>
  <c r="O5" i="2"/>
  <c r="Q5" i="2" s="1"/>
  <c r="K5" i="2"/>
  <c r="H5" i="2"/>
  <c r="O4" i="2"/>
  <c r="Q4" i="2" s="1"/>
  <c r="K4" i="2"/>
  <c r="H4" i="2"/>
</calcChain>
</file>

<file path=xl/sharedStrings.xml><?xml version="1.0" encoding="utf-8"?>
<sst xmlns="http://schemas.openxmlformats.org/spreadsheetml/2006/main" count="153" uniqueCount="42">
  <si>
    <r>
      <t xml:space="preserve">Monthly Traffic And Operating Statistics (Provisional)
 </t>
    </r>
    <r>
      <rPr>
        <b/>
        <sz val="16"/>
        <color indexed="8"/>
        <rFont val="Cambria"/>
        <family val="1"/>
      </rPr>
      <t>( Scheduled Domestic Services)</t>
    </r>
  </si>
  <si>
    <t>BLUEDART</t>
  </si>
  <si>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</si>
  <si>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</si>
  <si>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</si>
  <si>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</si>
  <si>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</si>
  <si>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PAX.LOAD FACTOR#
(IN %)</t>
  </si>
  <si>
    <t xml:space="preserve"> CARGO CARRIED </t>
  </si>
  <si>
    <t xml:space="preserve">    TONNE  KILOMETRE PERFORMED </t>
  </si>
  <si>
    <t>AVAILABLE TONNE KILOMETRE
(IN THOUSAND)</t>
  </si>
  <si>
    <t xml:space="preserve"> WEIGHT LOAD FACTOR##
(IN %)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</si>
  <si>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</si>
  <si>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</si>
  <si>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</si>
  <si>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</si>
  <si>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</si>
  <si>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</si>
  <si>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</si>
  <si>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</si>
  <si>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</si>
  <si>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</si>
  <si>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>JAN</t>
  </si>
  <si>
    <t>FEB</t>
  </si>
  <si>
    <t>MAR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</si>
  <si>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</si>
  <si>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</si>
  <si>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</si>
  <si>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</si>
  <si>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</si>
  <si>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</si>
  <si>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</si>
  <si>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</si>
  <si>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</si>
  <si>
    <t>TOTAL</t>
  </si>
  <si>
    <t>SOURCE:-ICAO ATR FORM A FURNISHED BY BLUEDART</t>
  </si>
  <si>
    <t>NOTE:- # PAX LOAD FACTOR = (PAX KM PERFORMED/AVAILABLE SEAT KMS)*100</t>
  </si>
  <si>
    <t xml:space="preserve">          # # WEIGHT LOAD FACTOR = (TONNE KMS PERFORMED/ AVAILABLE TONNE KMS)*100</t>
  </si>
  <si>
    <r>
      <rPr>
        <b/>
        <sz val="13"/>
        <color indexed="8"/>
        <rFont val="Cambria"/>
        <family val="1"/>
      </rPr>
      <t>Monthly Traffic And Operating Statistics</t>
    </r>
    <r>
      <rPr>
        <b/>
        <sz val="13"/>
        <color indexed="8"/>
        <rFont val="Cambria"/>
        <family val="1"/>
      </rPr>
      <t xml:space="preserve"> (Provisional)</t>
    </r>
    <r>
      <rPr>
        <b/>
        <sz val="12"/>
        <color indexed="8"/>
        <rFont val="Cambria"/>
        <family val="1"/>
      </rPr>
      <t xml:space="preserve">
 </t>
    </r>
    <r>
      <rPr>
        <b/>
        <sz val="16"/>
        <color indexed="8"/>
        <rFont val="Cambria"/>
        <family val="1"/>
      </rPr>
      <t>( Scheduled International 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</si>
  <si>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Domestic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</si>
  <si>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International Services)</t>
    </r>
  </si>
  <si>
    <t>[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</si>
</sst>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_)"/>
  </numFmts>
  <fonts count="22" x14ac:knownFonts="1">
    <font>
      <sz val="11"/>
      <color theme="1"/>
      <name val="Calibri"/>
      <family val="2"/>
      <scheme val="minor"/>
    </font>
    <font>
      <sz val="10"/>
      <name val="Courier"/>
    </font>
    <font>
      <b/>
      <sz val="18"/>
      <color theme="1"/>
      <name val="Calibri Light"/>
      <family val="1"/>
      <scheme val="major"/>
    </font>
    <font>
      <b/>
      <sz val="11"/>
      <color indexed="8"/>
      <name val="Cambria"/>
      <family val="1"/>
    </font>
    <font>
      <b/>
      <sz val="16"/>
      <color indexed="8"/>
      <name val="Cambria"/>
      <family val="1"/>
    </font>
    <font>
      <sz val="14"/>
      <name val="Calibri Light"/>
      <family val="1"/>
      <scheme val="major"/>
    </font>
    <font>
      <b/>
      <sz val="11"/>
      <color theme="0" tint="-4.9989318521683403E-2"/>
      <name val="Calibri Light"/>
      <family val="1"/>
      <scheme val="major"/>
    </font>
    <font>
      <sz val="11"/>
      <name val="Calibri Light"/>
      <family val="1"/>
      <scheme val="major"/>
    </font>
    <font>
      <sz val="12"/>
      <name val="Calibri Light"/>
      <family val="1"/>
      <scheme val="major"/>
    </font>
    <font>
      <b/>
      <sz val="12"/>
      <color theme="0" tint="-4.9989318521683403E-2"/>
      <name val="Calibri Light"/>
      <family val="1"/>
      <scheme val="major"/>
    </font>
    <font>
      <sz val="12"/>
      <color theme="0"/>
      <name val="Calibri Light"/>
      <family val="1"/>
      <scheme val="major"/>
    </font>
    <font>
      <b/>
      <sz val="12"/>
      <name val="Calibri Light"/>
      <family val="1"/>
      <scheme val="major"/>
    </font>
    <font>
      <b/>
      <sz val="18"/>
      <name val="Calibri Light"/>
      <family val="1"/>
      <scheme val="major"/>
    </font>
    <font>
      <b/>
      <sz val="13"/>
      <color indexed="8"/>
      <name val="Cambria"/>
      <family val="1"/>
    </font>
    <font>
      <b/>
      <sz val="12"/>
      <color indexed="8"/>
      <name val="Cambria"/>
      <family val="1"/>
    </font>
    <font>
      <b/>
      <sz val="12"/>
      <name val="Cambria"/>
      <family val="1"/>
    </font>
    <font>
      <b/>
      <sz val="13"/>
      <name val="Cambria"/>
      <family val="1"/>
    </font>
    <font>
      <b/>
      <sz val="16"/>
      <name val="Cambria"/>
      <family val="1"/>
    </font>
    <font>
      <sz val="12"/>
      <name val="Calibri"/>
      <family val="2"/>
      <scheme val="minor"/>
    </font>
    <font>
      <sz val="12"/>
      <color theme="1"/>
      <name val="Calibri Light"/>
      <family val="1"/>
      <scheme val="major"/>
    </font>
    <font>
      <sz val="14"/>
      <color theme="1"/>
      <name val="Calibri Light"/>
      <family val="1"/>
      <scheme val="major"/>
    </font>
    <font>
      <sz val="12"/>
      <color theme="0" tint="-4.9989318521683403E-2"/>
      <name val="Calibri Light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2">
    <xf numFmtId="0" fontId="0" fillId="0" borderId="0" xfId="0"/>
    <xf numFmtId="49" fontId="2" fillId="2" borderId="1" xfId="1" applyNumberFormat="1" applyFont="1" applyFill="1" applyBorder="1" applyAlignment="1" applyProtection="1">
      <alignment horizontal="center" vertical="center" wrapText="1"/>
    </xf>
    <xf numFmtId="3" fontId="3" fillId="2" borderId="1" xfId="1" applyNumberFormat="1" applyFont="1" applyFill="1" applyBorder="1" applyAlignment="1" applyProtection="1">
      <alignment horizontal="center" vertical="center" wrapText="1"/>
    </xf>
    <xf numFmtId="3" fontId="2" fillId="2" borderId="1" xfId="1" applyNumberFormat="1" applyFont="1" applyFill="1" applyBorder="1" applyAlignment="1" applyProtection="1">
      <alignment horizontal="center" vertical="center" wrapText="1"/>
    </xf>
    <xf numFmtId="0" fontId="5" fillId="3" borderId="0" xfId="1" applyFont="1" applyFill="1"/>
    <xf numFmtId="0" fontId="6" fillId="4" borderId="2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textRotation="90" wrapText="1"/>
    </xf>
    <xf numFmtId="0" fontId="6" fillId="4" borderId="4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textRotation="90" wrapText="1"/>
    </xf>
    <xf numFmtId="0" fontId="6" fillId="4" borderId="3" xfId="1" quotePrefix="1" applyFont="1" applyFill="1" applyBorder="1" applyAlignment="1" applyProtection="1">
      <alignment horizontal="center" vertical="center" textRotation="90" wrapText="1"/>
    </xf>
    <xf numFmtId="3" fontId="7" fillId="2" borderId="2" xfId="1" applyNumberFormat="1" applyFont="1" applyFill="1" applyBorder="1" applyAlignment="1" applyProtection="1">
      <alignment horizontal="center" vertical="center" wrapText="1"/>
    </xf>
    <xf numFmtId="3" fontId="7" fillId="2" borderId="5" xfId="1" applyNumberFormat="1" applyFont="1" applyFill="1" applyBorder="1" applyAlignment="1" applyProtection="1">
      <alignment horizontal="center" vertical="center" wrapText="1"/>
    </xf>
    <xf numFmtId="3" fontId="7" fillId="2" borderId="6" xfId="1" applyNumberFormat="1" applyFont="1" applyFill="1" applyBorder="1" applyAlignment="1" applyProtection="1">
      <alignment horizontal="center" vertical="center" wrapText="1"/>
    </xf>
    <xf numFmtId="3" fontId="7" fillId="2" borderId="7" xfId="1" applyNumberFormat="1" applyFont="1" applyFill="1" applyBorder="1" applyAlignment="1" applyProtection="1">
      <alignment horizontal="center" vertical="center" wrapText="1"/>
    </xf>
    <xf numFmtId="164" fontId="7" fillId="2" borderId="6" xfId="1" applyNumberFormat="1" applyFont="1" applyFill="1" applyBorder="1" applyAlignment="1" applyProtection="1">
      <alignment horizontal="center" vertical="center" wrapText="1"/>
    </xf>
    <xf numFmtId="164" fontId="7" fillId="2" borderId="7" xfId="1" applyNumberFormat="1" applyFont="1" applyFill="1" applyBorder="1" applyAlignment="1" applyProtection="1">
      <alignment horizontal="center" vertical="center" wrapText="1"/>
    </xf>
    <xf numFmtId="164" fontId="7" fillId="2" borderId="5" xfId="1" applyNumberFormat="1" applyFont="1" applyFill="1" applyBorder="1" applyAlignment="1" applyProtection="1">
      <alignment horizontal="center" vertical="center" wrapText="1"/>
    </xf>
    <xf numFmtId="3" fontId="7" fillId="3" borderId="8" xfId="1" applyNumberFormat="1" applyFont="1" applyFill="1" applyBorder="1" applyAlignment="1" applyProtection="1">
      <alignment horizontal="center" vertical="center" wrapText="1"/>
    </xf>
    <xf numFmtId="3" fontId="7" fillId="3" borderId="0" xfId="1" applyNumberFormat="1" applyFont="1" applyFill="1" applyBorder="1" applyAlignment="1" applyProtection="1">
      <alignment horizontal="center" vertical="center" wrapText="1"/>
    </xf>
    <xf numFmtId="3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8" xfId="1" applyNumberFormat="1" applyFont="1" applyFill="1" applyBorder="1" applyAlignment="1" applyProtection="1">
      <alignment horizontal="center" vertical="center" wrapText="1"/>
    </xf>
    <xf numFmtId="164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0" xfId="1" applyNumberFormat="1" applyFont="1" applyFill="1" applyBorder="1" applyAlignment="1" applyProtection="1">
      <alignment horizontal="center" vertical="center" wrapText="1"/>
    </xf>
    <xf numFmtId="3" fontId="7" fillId="2" borderId="8" xfId="1" applyNumberFormat="1" applyFont="1" applyFill="1" applyBorder="1" applyAlignment="1" applyProtection="1">
      <alignment horizontal="center" vertical="center" wrapText="1"/>
    </xf>
    <xf numFmtId="3" fontId="7" fillId="2" borderId="0" xfId="1" applyNumberFormat="1" applyFont="1" applyFill="1" applyBorder="1" applyAlignment="1" applyProtection="1">
      <alignment horizontal="center" vertical="center" wrapText="1"/>
    </xf>
    <xf numFmtId="3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8" xfId="1" applyNumberFormat="1" applyFont="1" applyFill="1" applyBorder="1" applyAlignment="1" applyProtection="1">
      <alignment horizontal="center" vertical="center" wrapText="1"/>
    </xf>
    <xf numFmtId="164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0" xfId="1" applyNumberFormat="1" applyFont="1" applyFill="1" applyBorder="1" applyAlignment="1" applyProtection="1">
      <alignment horizontal="center" vertical="center" wrapText="1"/>
    </xf>
    <xf numFmtId="0" fontId="8" fillId="3" borderId="0" xfId="1" applyFont="1" applyFill="1"/>
    <xf numFmtId="3" fontId="7" fillId="3" borderId="10" xfId="1" applyNumberFormat="1" applyFont="1" applyFill="1" applyBorder="1" applyAlignment="1" applyProtection="1">
      <alignment horizontal="center" vertical="center" wrapText="1"/>
    </xf>
    <xf numFmtId="3" fontId="7" fillId="3" borderId="1" xfId="1" applyNumberFormat="1" applyFont="1" applyFill="1" applyBorder="1" applyAlignment="1" applyProtection="1">
      <alignment horizontal="center" vertical="center" wrapText="1"/>
    </xf>
    <xf numFmtId="3" fontId="7" fillId="3" borderId="11" xfId="1" applyNumberFormat="1" applyFont="1" applyFill="1" applyBorder="1" applyAlignment="1" applyProtection="1">
      <alignment horizontal="center" vertical="center" wrapText="1"/>
    </xf>
    <xf numFmtId="3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1" xfId="1" applyNumberFormat="1" applyFont="1" applyFill="1" applyBorder="1" applyAlignment="1" applyProtection="1">
      <alignment horizontal="center" vertical="center" wrapText="1"/>
    </xf>
    <xf numFmtId="164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" xfId="1" applyNumberFormat="1" applyFont="1" applyFill="1" applyBorder="1" applyAlignment="1" applyProtection="1">
      <alignment horizontal="center" vertical="center" wrapText="1"/>
    </xf>
    <xf numFmtId="0" fontId="9" fillId="5" borderId="3" xfId="1" applyFont="1" applyFill="1" applyBorder="1" applyAlignment="1" applyProtection="1">
      <alignment horizontal="center" vertical="center" wrapText="1"/>
    </xf>
    <xf numFmtId="3" fontId="10" fillId="5" borderId="4" xfId="1" applyNumberFormat="1" applyFont="1" applyFill="1" applyBorder="1" applyAlignment="1" applyProtection="1">
      <alignment horizontal="center" vertical="center" wrapText="1"/>
    </xf>
    <xf numFmtId="164" fontId="10" fillId="5" borderId="4" xfId="1" applyNumberFormat="1" applyFont="1" applyFill="1" applyBorder="1" applyAlignment="1" applyProtection="1">
      <alignment horizontal="center" vertical="center" wrapText="1"/>
    </xf>
    <xf numFmtId="164" fontId="10" fillId="5" borderId="3" xfId="1" applyNumberFormat="1" applyFont="1" applyFill="1" applyBorder="1" applyAlignment="1" applyProtection="1">
      <alignment horizontal="center" vertical="center" wrapText="1"/>
    </xf>
    <xf numFmtId="0" fontId="11" fillId="3" borderId="3" xfId="1" applyFont="1" applyFill="1" applyBorder="1" applyAlignment="1" applyProtection="1">
      <alignment horizontal="left" vertical="center" wrapText="1"/>
    </xf>
    <xf numFmtId="0" fontId="11" fillId="0" borderId="3" xfId="1" applyFont="1" applyBorder="1" applyAlignment="1">
      <alignment horizontal="left" vertical="center" wrapText="1"/>
    </xf>
    <xf numFmtId="0" fontId="11" fillId="3" borderId="3" xfId="1" applyFont="1" applyFill="1" applyBorder="1" applyAlignment="1">
      <alignment horizontal="left" vertical="center"/>
    </xf>
    <xf numFmtId="0" fontId="5" fillId="3" borderId="0" xfId="1" applyFont="1" applyFill="1" applyAlignment="1">
      <alignment vertical="center"/>
    </xf>
    <xf numFmtId="49" fontId="12" fillId="6" borderId="13" xfId="1" applyNumberFormat="1" applyFont="1" applyFill="1" applyBorder="1" applyAlignment="1" applyProtection="1">
      <alignment horizontal="center" vertical="center" wrapText="1"/>
    </xf>
    <xf numFmtId="164" fontId="3" fillId="6" borderId="13" xfId="1" applyNumberFormat="1" applyFont="1" applyFill="1" applyBorder="1" applyAlignment="1" applyProtection="1">
      <alignment horizontal="center" vertical="center" wrapText="1"/>
    </xf>
    <xf numFmtId="164" fontId="12" fillId="6" borderId="13" xfId="1" applyNumberFormat="1" applyFont="1" applyFill="1" applyBorder="1" applyAlignment="1" applyProtection="1">
      <alignment horizontal="center" vertical="center" wrapText="1"/>
    </xf>
    <xf numFmtId="164" fontId="12" fillId="6" borderId="14" xfId="1" applyNumberFormat="1" applyFont="1" applyFill="1" applyBorder="1" applyAlignment="1" applyProtection="1">
      <alignment horizontal="center" vertical="center" wrapText="1"/>
    </xf>
    <xf numFmtId="0" fontId="9" fillId="7" borderId="3" xfId="1" applyFont="1" applyFill="1" applyBorder="1" applyAlignment="1" applyProtection="1">
      <alignment horizontal="center" vertical="center" wrapText="1"/>
    </xf>
    <xf numFmtId="0" fontId="9" fillId="7" borderId="3" xfId="1" applyFont="1" applyFill="1" applyBorder="1" applyAlignment="1" applyProtection="1">
      <alignment horizontal="center" vertical="center" textRotation="90" wrapText="1"/>
    </xf>
    <xf numFmtId="0" fontId="9" fillId="7" borderId="3" xfId="1" applyFont="1" applyFill="1" applyBorder="1" applyAlignment="1" applyProtection="1">
      <alignment horizontal="center" vertical="center" textRotation="90" wrapText="1"/>
    </xf>
    <xf numFmtId="0" fontId="9" fillId="7" borderId="3" xfId="1" quotePrefix="1" applyFont="1" applyFill="1" applyBorder="1" applyAlignment="1" applyProtection="1">
      <alignment horizontal="center" vertical="center" textRotation="90" wrapText="1"/>
    </xf>
    <xf numFmtId="0" fontId="9" fillId="7" borderId="2" xfId="1" applyFont="1" applyFill="1" applyBorder="1" applyAlignment="1" applyProtection="1">
      <alignment horizontal="center" vertical="center" textRotation="90" wrapText="1"/>
    </xf>
    <xf numFmtId="0" fontId="9" fillId="7" borderId="2" xfId="1" applyFont="1" applyFill="1" applyBorder="1" applyAlignment="1" applyProtection="1">
      <alignment horizontal="center" vertical="center" textRotation="90" wrapText="1"/>
    </xf>
    <xf numFmtId="3" fontId="7" fillId="6" borderId="0" xfId="1" applyNumberFormat="1" applyFont="1" applyFill="1" applyBorder="1" applyAlignment="1" applyProtection="1">
      <alignment horizontal="center" vertical="center" wrapText="1"/>
    </xf>
    <xf numFmtId="3" fontId="7" fillId="6" borderId="7" xfId="1" applyNumberFormat="1" applyFont="1" applyFill="1" applyBorder="1" applyAlignment="1" applyProtection="1">
      <alignment horizontal="center" vertical="center" wrapText="1"/>
    </xf>
    <xf numFmtId="3" fontId="7" fillId="6" borderId="5" xfId="1" applyNumberFormat="1" applyFont="1" applyFill="1" applyBorder="1" applyAlignment="1" applyProtection="1">
      <alignment horizontal="center" vertical="center" wrapText="1"/>
    </xf>
    <xf numFmtId="3" fontId="7" fillId="6" borderId="6" xfId="1" applyNumberFormat="1" applyFont="1" applyFill="1" applyBorder="1" applyAlignment="1" applyProtection="1">
      <alignment horizontal="center" vertical="center" wrapText="1"/>
    </xf>
    <xf numFmtId="164" fontId="7" fillId="6" borderId="8" xfId="1" applyNumberFormat="1" applyFont="1" applyFill="1" applyBorder="1" applyAlignment="1" applyProtection="1">
      <alignment horizontal="center" vertical="center" wrapText="1"/>
    </xf>
    <xf numFmtId="164" fontId="7" fillId="6" borderId="5" xfId="1" applyNumberFormat="1" applyFont="1" applyFill="1" applyBorder="1" applyAlignment="1" applyProtection="1">
      <alignment horizontal="center" vertical="center" wrapText="1"/>
    </xf>
    <xf numFmtId="164" fontId="7" fillId="6" borderId="7" xfId="1" applyNumberFormat="1" applyFont="1" applyFill="1" applyBorder="1" applyAlignment="1" applyProtection="1">
      <alignment horizontal="center" vertical="center" wrapText="1"/>
    </xf>
    <xf numFmtId="164" fontId="7" fillId="6" borderId="6" xfId="1" applyNumberFormat="1" applyFont="1" applyFill="1" applyBorder="1" applyAlignment="1" applyProtection="1">
      <alignment horizontal="center" vertical="center" wrapText="1"/>
    </xf>
    <xf numFmtId="3" fontId="7" fillId="8" borderId="0" xfId="1" applyNumberFormat="1" applyFont="1" applyFill="1" applyBorder="1" applyAlignment="1" applyProtection="1">
      <alignment horizontal="center" vertical="center" wrapText="1"/>
    </xf>
    <xf numFmtId="3" fontId="7" fillId="8" borderId="9" xfId="1" applyNumberFormat="1" applyFont="1" applyFill="1" applyBorder="1" applyAlignment="1" applyProtection="1">
      <alignment horizontal="center" vertical="center" wrapText="1"/>
    </xf>
    <xf numFmtId="3" fontId="7" fillId="8" borderId="8" xfId="1" applyNumberFormat="1" applyFont="1" applyFill="1" applyBorder="1" applyAlignment="1" applyProtection="1">
      <alignment horizontal="center" vertical="center" wrapText="1"/>
    </xf>
    <xf numFmtId="164" fontId="7" fillId="8" borderId="8" xfId="1" applyNumberFormat="1" applyFont="1" applyFill="1" applyBorder="1" applyAlignment="1" applyProtection="1">
      <alignment horizontal="center" vertical="center" wrapText="1"/>
    </xf>
    <xf numFmtId="164" fontId="7" fillId="8" borderId="0" xfId="1" applyNumberFormat="1" applyFont="1" applyFill="1" applyBorder="1" applyAlignment="1" applyProtection="1">
      <alignment horizontal="center" vertical="center" wrapText="1"/>
    </xf>
    <xf numFmtId="164" fontId="7" fillId="8" borderId="9" xfId="1" applyNumberFormat="1" applyFont="1" applyFill="1" applyBorder="1" applyAlignment="1" applyProtection="1">
      <alignment horizontal="center" vertical="center" wrapText="1"/>
    </xf>
    <xf numFmtId="3" fontId="7" fillId="6" borderId="9" xfId="1" applyNumberFormat="1" applyFont="1" applyFill="1" applyBorder="1" applyAlignment="1" applyProtection="1">
      <alignment horizontal="center" vertical="center" wrapText="1"/>
    </xf>
    <xf numFmtId="3" fontId="7" fillId="6" borderId="8" xfId="1" applyNumberFormat="1" applyFont="1" applyFill="1" applyBorder="1" applyAlignment="1" applyProtection="1">
      <alignment horizontal="center" vertical="center" wrapText="1"/>
    </xf>
    <xf numFmtId="164" fontId="7" fillId="6" borderId="0" xfId="1" applyNumberFormat="1" applyFont="1" applyFill="1" applyBorder="1" applyAlignment="1" applyProtection="1">
      <alignment horizontal="center" vertical="center" wrapText="1"/>
    </xf>
    <xf numFmtId="164" fontId="7" fillId="6" borderId="9" xfId="1" applyNumberFormat="1" applyFont="1" applyFill="1" applyBorder="1" applyAlignment="1" applyProtection="1">
      <alignment horizontal="center" vertical="center" wrapText="1"/>
    </xf>
    <xf numFmtId="3" fontId="7" fillId="8" borderId="12" xfId="1" applyNumberFormat="1" applyFont="1" applyFill="1" applyBorder="1" applyAlignment="1" applyProtection="1">
      <alignment horizontal="center" vertical="center" wrapText="1"/>
    </xf>
    <xf numFmtId="3" fontId="7" fillId="8" borderId="1" xfId="1" applyNumberFormat="1" applyFont="1" applyFill="1" applyBorder="1" applyAlignment="1" applyProtection="1">
      <alignment horizontal="center" vertical="center" wrapText="1"/>
    </xf>
    <xf numFmtId="3" fontId="7" fillId="8" borderId="11" xfId="1" applyNumberFormat="1" applyFont="1" applyFill="1" applyBorder="1" applyAlignment="1" applyProtection="1">
      <alignment horizontal="center" vertical="center" wrapText="1"/>
    </xf>
    <xf numFmtId="164" fontId="7" fillId="8" borderId="1" xfId="1" applyNumberFormat="1" applyFont="1" applyFill="1" applyBorder="1" applyAlignment="1" applyProtection="1">
      <alignment horizontal="center" vertical="center" wrapText="1"/>
    </xf>
    <xf numFmtId="164" fontId="7" fillId="8" borderId="12" xfId="1" applyNumberFormat="1" applyFont="1" applyFill="1" applyBorder="1" applyAlignment="1" applyProtection="1">
      <alignment horizontal="center" vertical="center" wrapText="1"/>
    </xf>
    <xf numFmtId="164" fontId="7" fillId="8" borderId="11" xfId="1" applyNumberFormat="1" applyFont="1" applyFill="1" applyBorder="1" applyAlignment="1" applyProtection="1">
      <alignment horizontal="center" vertical="center" wrapText="1"/>
    </xf>
    <xf numFmtId="0" fontId="9" fillId="7" borderId="10" xfId="1" applyFont="1" applyFill="1" applyBorder="1" applyAlignment="1" applyProtection="1">
      <alignment horizontal="center" vertical="center" wrapText="1"/>
    </xf>
    <xf numFmtId="3" fontId="10" fillId="7" borderId="4" xfId="1" applyNumberFormat="1" applyFont="1" applyFill="1" applyBorder="1" applyAlignment="1" applyProtection="1">
      <alignment horizontal="center" vertical="center" wrapText="1"/>
    </xf>
    <xf numFmtId="164" fontId="10" fillId="7" borderId="3" xfId="1" applyNumberFormat="1" applyFont="1" applyFill="1" applyBorder="1" applyAlignment="1" applyProtection="1">
      <alignment horizontal="center" vertical="center" wrapText="1"/>
    </xf>
    <xf numFmtId="164" fontId="10" fillId="7" borderId="4" xfId="1" applyNumberFormat="1" applyFont="1" applyFill="1" applyBorder="1" applyAlignment="1" applyProtection="1">
      <alignment horizontal="center" vertical="center" wrapText="1"/>
    </xf>
    <xf numFmtId="49" fontId="12" fillId="9" borderId="13" xfId="1" applyNumberFormat="1" applyFont="1" applyFill="1" applyBorder="1" applyAlignment="1" applyProtection="1">
      <alignment horizontal="center" vertical="center" wrapText="1"/>
    </xf>
    <xf numFmtId="3" fontId="15" fillId="9" borderId="13" xfId="1" applyNumberFormat="1" applyFont="1" applyFill="1" applyBorder="1" applyAlignment="1" applyProtection="1">
      <alignment horizontal="center" vertical="center" wrapText="1"/>
    </xf>
    <xf numFmtId="3" fontId="12" fillId="9" borderId="13" xfId="1" applyNumberFormat="1" applyFont="1" applyFill="1" applyBorder="1" applyAlignment="1" applyProtection="1">
      <alignment horizontal="center" vertical="center" wrapText="1"/>
    </xf>
    <xf numFmtId="0" fontId="9" fillId="10" borderId="3" xfId="1" applyFont="1" applyFill="1" applyBorder="1" applyAlignment="1" applyProtection="1">
      <alignment horizontal="center" vertical="center" wrapText="1"/>
    </xf>
    <xf numFmtId="0" fontId="9" fillId="10" borderId="3" xfId="1" applyFont="1" applyFill="1" applyBorder="1" applyAlignment="1" applyProtection="1">
      <alignment horizontal="center" vertical="center" textRotation="90" wrapText="1"/>
    </xf>
    <xf numFmtId="0" fontId="9" fillId="10" borderId="2" xfId="1" applyFont="1" applyFill="1" applyBorder="1" applyAlignment="1" applyProtection="1">
      <alignment horizontal="center" vertical="center" textRotation="90" wrapText="1"/>
    </xf>
    <xf numFmtId="0" fontId="9" fillId="10" borderId="2" xfId="1" applyFont="1" applyFill="1" applyBorder="1" applyAlignment="1" applyProtection="1">
      <alignment horizontal="center" vertical="center" textRotation="90" wrapText="1"/>
    </xf>
    <xf numFmtId="0" fontId="9" fillId="10" borderId="2" xfId="1" quotePrefix="1" applyFont="1" applyFill="1" applyBorder="1" applyAlignment="1" applyProtection="1">
      <alignment horizontal="center" vertical="center" textRotation="90" wrapText="1"/>
    </xf>
    <xf numFmtId="0" fontId="8" fillId="9" borderId="0" xfId="1" applyFont="1" applyFill="1" applyBorder="1" applyAlignment="1" applyProtection="1">
      <alignment horizontal="center" vertical="center" wrapText="1"/>
    </xf>
    <xf numFmtId="3" fontId="8" fillId="9" borderId="7" xfId="1" applyNumberFormat="1" applyFont="1" applyFill="1" applyBorder="1" applyAlignment="1" applyProtection="1">
      <alignment horizontal="center" vertical="center" wrapText="1"/>
    </xf>
    <xf numFmtId="3" fontId="8" fillId="9" borderId="5" xfId="1" applyNumberFormat="1" applyFont="1" applyFill="1" applyBorder="1" applyAlignment="1" applyProtection="1">
      <alignment horizontal="center" vertical="center" wrapText="1"/>
    </xf>
    <xf numFmtId="3" fontId="8" fillId="9" borderId="6" xfId="1" applyNumberFormat="1" applyFont="1" applyFill="1" applyBorder="1" applyAlignment="1" applyProtection="1">
      <alignment horizontal="center" vertical="center" wrapText="1"/>
    </xf>
    <xf numFmtId="164" fontId="8" fillId="9" borderId="6" xfId="1" applyNumberFormat="1" applyFont="1" applyFill="1" applyBorder="1" applyAlignment="1" applyProtection="1">
      <alignment horizontal="center" vertical="center" wrapText="1"/>
    </xf>
    <xf numFmtId="164" fontId="8" fillId="9" borderId="7" xfId="1" applyNumberFormat="1" applyFont="1" applyFill="1" applyBorder="1" applyAlignment="1" applyProtection="1">
      <alignment horizontal="center" vertical="center" wrapText="1"/>
    </xf>
    <xf numFmtId="164" fontId="8" fillId="9" borderId="5" xfId="1" applyNumberFormat="1" applyFont="1" applyFill="1" applyBorder="1" applyAlignment="1" applyProtection="1">
      <alignment horizontal="center" vertical="center" wrapText="1"/>
    </xf>
    <xf numFmtId="0" fontId="8" fillId="3" borderId="0" xfId="1" applyFont="1" applyFill="1" applyBorder="1" applyAlignment="1" applyProtection="1">
      <alignment horizontal="center" vertical="center" wrapText="1"/>
    </xf>
    <xf numFmtId="3" fontId="18" fillId="3" borderId="9" xfId="1" applyNumberFormat="1" applyFont="1" applyFill="1" applyBorder="1" applyAlignment="1" applyProtection="1">
      <alignment horizontal="center" vertical="center" wrapText="1"/>
    </xf>
    <xf numFmtId="3" fontId="18" fillId="3" borderId="0" xfId="1" applyNumberFormat="1" applyFont="1" applyFill="1" applyBorder="1" applyAlignment="1" applyProtection="1">
      <alignment horizontal="center" vertical="center" wrapText="1"/>
    </xf>
    <xf numFmtId="3" fontId="18" fillId="3" borderId="8" xfId="1" applyNumberFormat="1" applyFont="1" applyFill="1" applyBorder="1" applyAlignment="1" applyProtection="1">
      <alignment horizontal="center" vertical="center" wrapText="1"/>
    </xf>
    <xf numFmtId="164" fontId="8" fillId="3" borderId="8" xfId="1" applyNumberFormat="1" applyFont="1" applyFill="1" applyBorder="1" applyAlignment="1" applyProtection="1">
      <alignment horizontal="center" vertical="center" wrapText="1"/>
    </xf>
    <xf numFmtId="164" fontId="18" fillId="3" borderId="9" xfId="1" applyNumberFormat="1" applyFont="1" applyFill="1" applyBorder="1" applyAlignment="1" applyProtection="1">
      <alignment horizontal="center" vertical="center" wrapText="1"/>
    </xf>
    <xf numFmtId="164" fontId="18" fillId="3" borderId="0" xfId="1" applyNumberFormat="1" applyFont="1" applyFill="1" applyBorder="1" applyAlignment="1" applyProtection="1">
      <alignment horizontal="center" vertical="center" wrapText="1"/>
    </xf>
    <xf numFmtId="3" fontId="18" fillId="9" borderId="9" xfId="1" applyNumberFormat="1" applyFont="1" applyFill="1" applyBorder="1" applyAlignment="1" applyProtection="1">
      <alignment horizontal="center" vertical="center" wrapText="1"/>
    </xf>
    <xf numFmtId="3" fontId="18" fillId="9" borderId="0" xfId="1" applyNumberFormat="1" applyFont="1" applyFill="1" applyBorder="1" applyAlignment="1" applyProtection="1">
      <alignment horizontal="center" vertical="center" wrapText="1"/>
    </xf>
    <xf numFmtId="3" fontId="18" fillId="9" borderId="8" xfId="1" applyNumberFormat="1" applyFont="1" applyFill="1" applyBorder="1" applyAlignment="1" applyProtection="1">
      <alignment horizontal="center" vertical="center" wrapText="1"/>
    </xf>
    <xf numFmtId="164" fontId="8" fillId="9" borderId="8" xfId="1" applyNumberFormat="1" applyFont="1" applyFill="1" applyBorder="1" applyAlignment="1" applyProtection="1">
      <alignment horizontal="center" vertical="center" wrapText="1"/>
    </xf>
    <xf numFmtId="164" fontId="18" fillId="9" borderId="9" xfId="1" applyNumberFormat="1" applyFont="1" applyFill="1" applyBorder="1" applyAlignment="1" applyProtection="1">
      <alignment horizontal="center" vertical="center" wrapText="1"/>
    </xf>
    <xf numFmtId="164" fontId="18" fillId="9" borderId="0" xfId="1" applyNumberFormat="1" applyFont="1" applyFill="1" applyBorder="1" applyAlignment="1" applyProtection="1">
      <alignment horizontal="center" vertical="center" wrapText="1"/>
    </xf>
    <xf numFmtId="4" fontId="18" fillId="3" borderId="0" xfId="1" applyNumberFormat="1" applyFont="1" applyFill="1" applyBorder="1" applyAlignment="1" applyProtection="1">
      <alignment horizontal="center" vertical="center" wrapText="1"/>
    </xf>
    <xf numFmtId="4" fontId="18" fillId="9" borderId="0" xfId="1" applyNumberFormat="1" applyFont="1" applyFill="1" applyBorder="1" applyAlignment="1" applyProtection="1">
      <alignment horizontal="center" vertical="center" wrapText="1"/>
    </xf>
    <xf numFmtId="3" fontId="8" fillId="3" borderId="9" xfId="1" applyNumberFormat="1" applyFont="1" applyFill="1" applyBorder="1" applyAlignment="1" applyProtection="1">
      <alignment horizontal="center" vertical="center" wrapText="1"/>
    </xf>
    <xf numFmtId="3" fontId="8" fillId="3" borderId="0" xfId="1" applyNumberFormat="1" applyFont="1" applyFill="1" applyBorder="1" applyAlignment="1" applyProtection="1">
      <alignment horizontal="center" vertical="center" wrapText="1"/>
    </xf>
    <xf numFmtId="164" fontId="8" fillId="3" borderId="9" xfId="1" applyNumberFormat="1" applyFont="1" applyFill="1" applyBorder="1" applyAlignment="1" applyProtection="1">
      <alignment horizontal="center" vertical="center" wrapText="1"/>
    </xf>
    <xf numFmtId="164" fontId="8" fillId="3" borderId="0" xfId="1" applyNumberFormat="1" applyFont="1" applyFill="1" applyBorder="1" applyAlignment="1" applyProtection="1">
      <alignment horizontal="center" vertical="center" wrapText="1"/>
    </xf>
    <xf numFmtId="0" fontId="19" fillId="9" borderId="0" xfId="1" applyFont="1" applyFill="1" applyBorder="1" applyAlignment="1" applyProtection="1">
      <alignment horizontal="center" vertical="center" wrapText="1"/>
    </xf>
    <xf numFmtId="3" fontId="19" fillId="9" borderId="9" xfId="1" applyNumberFormat="1" applyFont="1" applyFill="1" applyBorder="1" applyAlignment="1" applyProtection="1">
      <alignment horizontal="center" vertical="center" wrapText="1"/>
    </xf>
    <xf numFmtId="3" fontId="19" fillId="9" borderId="0" xfId="1" applyNumberFormat="1" applyFont="1" applyFill="1" applyBorder="1" applyAlignment="1" applyProtection="1">
      <alignment horizontal="center" vertical="center" wrapText="1"/>
    </xf>
    <xf numFmtId="3" fontId="19" fillId="9" borderId="8" xfId="1" applyNumberFormat="1" applyFont="1" applyFill="1" applyBorder="1" applyAlignment="1" applyProtection="1">
      <alignment horizontal="center" vertical="center" wrapText="1"/>
    </xf>
    <xf numFmtId="164" fontId="19" fillId="9" borderId="8" xfId="1" applyNumberFormat="1" applyFont="1" applyFill="1" applyBorder="1" applyAlignment="1" applyProtection="1">
      <alignment horizontal="center" vertical="center" wrapText="1"/>
    </xf>
    <xf numFmtId="164" fontId="19" fillId="9" borderId="9" xfId="1" applyNumberFormat="1" applyFont="1" applyFill="1" applyBorder="1" applyAlignment="1" applyProtection="1">
      <alignment horizontal="center" vertical="center" wrapText="1"/>
    </xf>
    <xf numFmtId="164" fontId="19" fillId="9" borderId="0" xfId="1" applyNumberFormat="1" applyFont="1" applyFill="1" applyBorder="1" applyAlignment="1" applyProtection="1">
      <alignment horizontal="center" vertical="center" wrapText="1"/>
    </xf>
    <xf numFmtId="0" fontId="20" fillId="3" borderId="0" xfId="1" applyFont="1" applyFill="1"/>
    <xf numFmtId="3" fontId="8" fillId="3" borderId="8" xfId="1" applyNumberFormat="1" applyFont="1" applyFill="1" applyBorder="1" applyAlignment="1" applyProtection="1">
      <alignment horizontal="center" vertical="center" wrapText="1"/>
    </xf>
    <xf numFmtId="3" fontId="8" fillId="9" borderId="9" xfId="1" applyNumberFormat="1" applyFont="1" applyFill="1" applyBorder="1" applyAlignment="1" applyProtection="1">
      <alignment horizontal="center" vertical="center" wrapText="1"/>
    </xf>
    <xf numFmtId="3" fontId="8" fillId="9" borderId="0" xfId="1" applyNumberFormat="1" applyFont="1" applyFill="1" applyBorder="1" applyAlignment="1" applyProtection="1">
      <alignment horizontal="center" vertical="center" wrapText="1"/>
    </xf>
    <xf numFmtId="3" fontId="8" fillId="9" borderId="8" xfId="1" applyNumberFormat="1" applyFont="1" applyFill="1" applyBorder="1" applyAlignment="1" applyProtection="1">
      <alignment horizontal="center" vertical="center" wrapText="1"/>
    </xf>
    <xf numFmtId="164" fontId="8" fillId="9" borderId="9" xfId="1" applyNumberFormat="1" applyFont="1" applyFill="1" applyBorder="1" applyAlignment="1" applyProtection="1">
      <alignment horizontal="center" vertical="center" wrapText="1"/>
    </xf>
    <xf numFmtId="164" fontId="8" fillId="9" borderId="0" xfId="1" applyNumberFormat="1" applyFont="1" applyFill="1" applyBorder="1" applyAlignment="1" applyProtection="1">
      <alignment horizontal="center" vertical="center" wrapText="1"/>
    </xf>
    <xf numFmtId="3" fontId="8" fillId="3" borderId="12" xfId="1" applyNumberFormat="1" applyFont="1" applyFill="1" applyBorder="1" applyAlignment="1" applyProtection="1">
      <alignment horizontal="center" vertical="center" wrapText="1"/>
    </xf>
    <xf numFmtId="3" fontId="8" fillId="3" borderId="1" xfId="1" applyNumberFormat="1" applyFont="1" applyFill="1" applyBorder="1" applyAlignment="1" applyProtection="1">
      <alignment horizontal="center" vertical="center" wrapText="1"/>
    </xf>
    <xf numFmtId="3" fontId="8" fillId="3" borderId="11" xfId="1" applyNumberFormat="1" applyFont="1" applyFill="1" applyBorder="1" applyAlignment="1" applyProtection="1">
      <alignment horizontal="center" vertical="center" wrapText="1"/>
    </xf>
    <xf numFmtId="164" fontId="8" fillId="3" borderId="11" xfId="1" applyNumberFormat="1" applyFont="1" applyFill="1" applyBorder="1" applyAlignment="1" applyProtection="1">
      <alignment horizontal="center" vertical="center" wrapText="1"/>
    </xf>
    <xf numFmtId="164" fontId="8" fillId="3" borderId="12" xfId="1" applyNumberFormat="1" applyFont="1" applyFill="1" applyBorder="1" applyAlignment="1" applyProtection="1">
      <alignment horizontal="center" vertical="center" wrapText="1"/>
    </xf>
    <xf numFmtId="164" fontId="8" fillId="3" borderId="1" xfId="1" applyNumberFormat="1" applyFont="1" applyFill="1" applyBorder="1" applyAlignment="1" applyProtection="1">
      <alignment horizontal="center" vertical="center" wrapText="1"/>
    </xf>
    <xf numFmtId="0" fontId="9" fillId="11" borderId="3" xfId="1" applyFont="1" applyFill="1" applyBorder="1" applyAlignment="1" applyProtection="1">
      <alignment horizontal="center" vertical="center" wrapText="1"/>
    </xf>
    <xf numFmtId="3" fontId="21" fillId="11" borderId="10" xfId="1" applyNumberFormat="1" applyFont="1" applyFill="1" applyBorder="1" applyAlignment="1" applyProtection="1">
      <alignment horizontal="center" vertical="center" wrapText="1"/>
    </xf>
    <xf numFmtId="164" fontId="21" fillId="11" borderId="10" xfId="1" applyNumberFormat="1" applyFont="1" applyFill="1" applyBorder="1" applyAlignment="1" applyProtection="1">
      <alignment horizontal="center" vertical="center" wrapText="1"/>
    </xf>
    <xf numFmtId="164" fontId="21" fillId="11" borderId="3" xfId="1" applyNumberFormat="1" applyFont="1" applyFill="1" applyBorder="1" applyAlignment="1" applyProtection="1">
      <alignment horizontal="center" vertical="center" wrapText="1"/>
    </xf>
    <xf numFmtId="49" fontId="12" fillId="12" borderId="13" xfId="1" applyNumberFormat="1" applyFont="1" applyFill="1" applyBorder="1" applyAlignment="1" applyProtection="1">
      <alignment horizontal="center" vertical="center" wrapText="1"/>
    </xf>
    <xf numFmtId="3" fontId="15" fillId="12" borderId="13" xfId="1" applyNumberFormat="1" applyFont="1" applyFill="1" applyBorder="1" applyAlignment="1" applyProtection="1">
      <alignment horizontal="center" vertical="center" wrapText="1"/>
    </xf>
    <xf numFmtId="3" fontId="12" fillId="12" borderId="13" xfId="1" applyNumberFormat="1" applyFont="1" applyFill="1" applyBorder="1" applyAlignment="1" applyProtection="1">
      <alignment horizontal="center" vertical="center" wrapText="1"/>
    </xf>
    <xf numFmtId="0" fontId="9" fillId="13" borderId="3" xfId="1" applyFont="1" applyFill="1" applyBorder="1" applyAlignment="1" applyProtection="1">
      <alignment horizontal="center" vertical="center" wrapText="1"/>
    </xf>
    <xf numFmtId="0" fontId="9" fillId="13" borderId="3" xfId="1" applyFont="1" applyFill="1" applyBorder="1" applyAlignment="1" applyProtection="1">
      <alignment horizontal="center" vertical="center" textRotation="90" wrapText="1"/>
    </xf>
    <xf numFmtId="0" fontId="9" fillId="13" borderId="2" xfId="1" applyFont="1" applyFill="1" applyBorder="1" applyAlignment="1" applyProtection="1">
      <alignment horizontal="center" vertical="center" textRotation="90" wrapText="1"/>
    </xf>
    <xf numFmtId="0" fontId="9" fillId="13" borderId="2" xfId="1" applyFont="1" applyFill="1" applyBorder="1" applyAlignment="1" applyProtection="1">
      <alignment horizontal="center" vertical="center" textRotation="90" wrapText="1"/>
    </xf>
    <xf numFmtId="0" fontId="9" fillId="13" borderId="2" xfId="1" quotePrefix="1" applyFont="1" applyFill="1" applyBorder="1" applyAlignment="1" applyProtection="1">
      <alignment horizontal="center" vertical="center" textRotation="90" wrapText="1"/>
    </xf>
    <xf numFmtId="0" fontId="8" fillId="12" borderId="0" xfId="1" applyFont="1" applyFill="1" applyBorder="1" applyAlignment="1" applyProtection="1">
      <alignment horizontal="center" vertical="center" wrapText="1"/>
    </xf>
    <xf numFmtId="3" fontId="8" fillId="12" borderId="7" xfId="1" applyNumberFormat="1" applyFont="1" applyFill="1" applyBorder="1" applyAlignment="1" applyProtection="1">
      <alignment horizontal="center" vertical="center" wrapText="1"/>
    </xf>
    <xf numFmtId="3" fontId="8" fillId="12" borderId="5" xfId="1" applyNumberFormat="1" applyFont="1" applyFill="1" applyBorder="1" applyAlignment="1" applyProtection="1">
      <alignment horizontal="center" vertical="center" wrapText="1"/>
    </xf>
    <xf numFmtId="3" fontId="8" fillId="12" borderId="6" xfId="1" applyNumberFormat="1" applyFont="1" applyFill="1" applyBorder="1" applyAlignment="1" applyProtection="1">
      <alignment horizontal="center" vertical="center" wrapText="1"/>
    </xf>
    <xf numFmtId="164" fontId="8" fillId="12" borderId="6" xfId="1" quotePrefix="1" applyNumberFormat="1" applyFont="1" applyFill="1" applyBorder="1" applyAlignment="1" applyProtection="1">
      <alignment horizontal="center" vertical="center" wrapText="1"/>
    </xf>
    <xf numFmtId="164" fontId="8" fillId="12" borderId="7" xfId="1" applyNumberFormat="1" applyFont="1" applyFill="1" applyBorder="1" applyAlignment="1" applyProtection="1">
      <alignment horizontal="center" vertical="center" wrapText="1"/>
    </xf>
    <xf numFmtId="164" fontId="8" fillId="12" borderId="5" xfId="1" applyNumberFormat="1" applyFont="1" applyFill="1" applyBorder="1" applyAlignment="1" applyProtection="1">
      <alignment horizontal="center" vertical="center" wrapText="1"/>
    </xf>
    <xf numFmtId="164" fontId="8" fillId="12" borderId="6" xfId="1" applyNumberFormat="1" applyFont="1" applyFill="1" applyBorder="1" applyAlignment="1" applyProtection="1">
      <alignment horizontal="center" vertical="center" wrapText="1"/>
    </xf>
    <xf numFmtId="164" fontId="8" fillId="3" borderId="8" xfId="1" quotePrefix="1" applyNumberFormat="1" applyFont="1" applyFill="1" applyBorder="1" applyAlignment="1" applyProtection="1">
      <alignment horizontal="center" vertical="center" wrapText="1"/>
    </xf>
    <xf numFmtId="3" fontId="8" fillId="12" borderId="9" xfId="1" applyNumberFormat="1" applyFont="1" applyFill="1" applyBorder="1" applyAlignment="1" applyProtection="1">
      <alignment horizontal="center" vertical="center" wrapText="1"/>
    </xf>
    <xf numFmtId="3" fontId="8" fillId="12" borderId="0" xfId="1" applyNumberFormat="1" applyFont="1" applyFill="1" applyBorder="1" applyAlignment="1" applyProtection="1">
      <alignment horizontal="center" vertical="center" wrapText="1"/>
    </xf>
    <xf numFmtId="3" fontId="8" fillId="12" borderId="8" xfId="1" applyNumberFormat="1" applyFont="1" applyFill="1" applyBorder="1" applyAlignment="1" applyProtection="1">
      <alignment horizontal="center" vertical="center" wrapText="1"/>
    </xf>
    <xf numFmtId="164" fontId="8" fillId="12" borderId="8" xfId="1" quotePrefix="1" applyNumberFormat="1" applyFont="1" applyFill="1" applyBorder="1" applyAlignment="1" applyProtection="1">
      <alignment horizontal="center" vertical="center" wrapText="1"/>
    </xf>
    <xf numFmtId="164" fontId="8" fillId="12" borderId="9" xfId="1" applyNumberFormat="1" applyFont="1" applyFill="1" applyBorder="1" applyAlignment="1" applyProtection="1">
      <alignment horizontal="center" vertical="center" wrapText="1"/>
    </xf>
    <xf numFmtId="164" fontId="8" fillId="12" borderId="0" xfId="1" applyNumberFormat="1" applyFont="1" applyFill="1" applyBorder="1" applyAlignment="1" applyProtection="1">
      <alignment horizontal="center" vertical="center" wrapText="1"/>
    </xf>
    <xf numFmtId="164" fontId="8" fillId="12" borderId="8" xfId="1" applyNumberFormat="1" applyFont="1" applyFill="1" applyBorder="1" applyAlignment="1" applyProtection="1">
      <alignment horizontal="center" vertical="center" wrapText="1"/>
    </xf>
    <xf numFmtId="0" fontId="9" fillId="13" borderId="10" xfId="1" applyFont="1" applyFill="1" applyBorder="1" applyAlignment="1" applyProtection="1">
      <alignment horizontal="center" vertical="center" wrapText="1"/>
    </xf>
    <xf numFmtId="3" fontId="21" fillId="13" borderId="10" xfId="1" applyNumberFormat="1" applyFont="1" applyFill="1" applyBorder="1" applyAlignment="1" applyProtection="1">
      <alignment horizontal="center" vertical="center" wrapText="1"/>
    </xf>
    <xf numFmtId="164" fontId="21" fillId="13" borderId="10" xfId="1" quotePrefix="1" applyNumberFormat="1" applyFont="1" applyFill="1" applyBorder="1" applyAlignment="1" applyProtection="1">
      <alignment horizontal="center" vertical="center" wrapText="1"/>
    </xf>
    <xf numFmtId="164" fontId="21" fillId="13" borderId="10" xfId="1" applyNumberFormat="1" applyFont="1" applyFill="1" applyBorder="1" applyAlignment="1" applyProtection="1">
      <alignment horizontal="center" vertical="center" wrapText="1"/>
    </xf>
    <xf numFmtId="165" fontId="5" fillId="3" borderId="0" xfId="1" applyNumberFormat="1" applyFont="1" applyFill="1" applyProtection="1"/>
    <xf numFmtId="0" fontId="5" fillId="3" borderId="0" xfId="1" applyFont="1" applyFill="1" applyAlignment="1" applyProtection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ndeep%20Verma/Desktop/Nitin%20Soni,%20JSO/December%202024/SOFTWAR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Window"/>
      <sheetName val="Sheet4"/>
      <sheetName val="PivotTable"/>
      <sheetName val="Interface"/>
      <sheetName val="Data"/>
      <sheetName val="Sheet5"/>
      <sheetName val="Sheet2"/>
      <sheetName val="FRT ONLY"/>
      <sheetName val="Sheet6"/>
      <sheetName val="Monthly_Template"/>
      <sheetName val="Sheet15"/>
      <sheetName val="DOMESTIC"/>
      <sheetName val="INTERNATIONAL"/>
    </sheetNames>
    <sheetDataSet>
      <sheetData sheetId="0"/>
      <sheetData sheetId="1"/>
      <sheetData sheetId="2"/>
      <sheetData sheetId="3">
        <row r="7">
          <cell r="AQ7" t="str">
            <v>SECTOR</v>
          </cell>
          <cell r="AR7" t="str">
            <v xml:space="preserve">DEPARTURES </v>
          </cell>
          <cell r="AT7" t="str">
            <v>AIR ASIA</v>
          </cell>
        </row>
        <row r="8">
          <cell r="AQ8" t="str">
            <v>AIRLINE</v>
          </cell>
          <cell r="AR8" t="str">
            <v xml:space="preserve">HOURS </v>
          </cell>
          <cell r="AT8" t="str">
            <v>AIR CARNIVAL</v>
          </cell>
        </row>
        <row r="9">
          <cell r="AQ9" t="str">
            <v>SERVICE</v>
          </cell>
          <cell r="AR9" t="str">
            <v xml:space="preserve">  KMS. </v>
          </cell>
          <cell r="AT9" t="str">
            <v>AIR COSTA</v>
          </cell>
        </row>
        <row r="10">
          <cell r="AQ10" t="str">
            <v>Carrier</v>
          </cell>
          <cell r="AR10" t="str">
            <v>PAX</v>
          </cell>
          <cell r="AT10" t="str">
            <v>AIR DECCAN</v>
          </cell>
        </row>
        <row r="11">
          <cell r="AQ11" t="str">
            <v>YEAR</v>
          </cell>
          <cell r="AR11" t="str">
            <v xml:space="preserve">RPKM </v>
          </cell>
          <cell r="AT11" t="str">
            <v>AIR HERITAGE</v>
          </cell>
        </row>
        <row r="12">
          <cell r="AQ12" t="str">
            <v>MONTH</v>
          </cell>
          <cell r="AR12" t="str">
            <v>ASKM</v>
          </cell>
          <cell r="AT12" t="str">
            <v>AIR INDIA</v>
          </cell>
        </row>
        <row r="13">
          <cell r="AQ13" t="str">
            <v>FY</v>
          </cell>
          <cell r="AR13" t="str">
            <v xml:space="preserve"> FREIGHT</v>
          </cell>
          <cell r="AT13" t="str">
            <v>AIR INDIA EXPRESS</v>
          </cell>
        </row>
        <row r="14">
          <cell r="AR14" t="str">
            <v>MAIL</v>
          </cell>
          <cell r="AT14" t="str">
            <v>AIR ODISHA</v>
          </cell>
        </row>
        <row r="15">
          <cell r="AR15" t="str">
            <v>CARGO</v>
          </cell>
          <cell r="AT15" t="str">
            <v>AIR PEGASUS</v>
          </cell>
        </row>
        <row r="16">
          <cell r="AR16" t="str">
            <v>PTKM</v>
          </cell>
          <cell r="AT16" t="str">
            <v>ALLIANCE AIR</v>
          </cell>
        </row>
        <row r="17">
          <cell r="AR17" t="str">
            <v>FTKM</v>
          </cell>
          <cell r="AT17" t="str">
            <v>BLUEDART</v>
          </cell>
        </row>
        <row r="18">
          <cell r="AR18" t="str">
            <v>MTKM</v>
          </cell>
          <cell r="AT18" t="str">
            <v>DECCAN</v>
          </cell>
        </row>
        <row r="19">
          <cell r="AR19" t="str">
            <v>RTKM</v>
          </cell>
          <cell r="AT19" t="str">
            <v>GO AIR</v>
          </cell>
        </row>
        <row r="20">
          <cell r="AR20" t="str">
            <v>ATKM</v>
          </cell>
          <cell r="AT20" t="str">
            <v>INDIGO</v>
          </cell>
        </row>
        <row r="21">
          <cell r="AT21" t="str">
            <v>JET AIRWAYS</v>
          </cell>
        </row>
        <row r="22">
          <cell r="AT22" t="str">
            <v>JETLITE</v>
          </cell>
        </row>
        <row r="23">
          <cell r="AT23" t="str">
            <v>FLYBIG</v>
          </cell>
        </row>
        <row r="24">
          <cell r="AT24" t="str">
            <v>KINGFISHER</v>
          </cell>
        </row>
        <row r="25">
          <cell r="AT25" t="str">
            <v>AIR TAXI</v>
          </cell>
        </row>
        <row r="26">
          <cell r="AT26" t="str">
            <v>MDLR</v>
          </cell>
        </row>
        <row r="27">
          <cell r="AT27" t="str">
            <v>PARAMOUNT</v>
          </cell>
        </row>
        <row r="28">
          <cell r="AT28" t="str">
            <v>QUIKJET CARGO</v>
          </cell>
        </row>
        <row r="29">
          <cell r="AT29" t="str">
            <v>SPICEJET</v>
          </cell>
        </row>
        <row r="30">
          <cell r="AT30" t="str">
            <v>STAR AIR</v>
          </cell>
        </row>
        <row r="31">
          <cell r="AT31" t="str">
            <v>TRUJET</v>
          </cell>
        </row>
        <row r="32">
          <cell r="AT32" t="str">
            <v>VISTARA</v>
          </cell>
        </row>
        <row r="33">
          <cell r="AT33" t="str">
            <v>ZOOM AIR</v>
          </cell>
        </row>
        <row r="34">
          <cell r="AT34" t="str">
            <v>PAWAN HANS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43" transitionEvaluation="1" transitionEntry="1" codeName="Sheet12"/>
  <dimension ref="A1:Q494"/>
  <sheetViews>
    <sheetView showGridLines="0" tabSelected="1" view="pageBreakPreview" topLeftCell="A43" zoomScale="55" zoomScaleNormal="85" zoomScaleSheetLayoutView="55" workbookViewId="0">
      <selection activeCell="H67" sqref="H67"/>
    </sheetView>
  </sheetViews>
  <sheetFormatPr defaultColWidth="9.7109375" defaultRowHeight="18.75" x14ac:dyDescent="0.3"/>
  <cols>
    <col min="1" max="1" width="10.42578125" style="4" customWidth="1"/>
    <col min="2" max="2" width="9.7109375" style="4" bestFit="1" customWidth="1"/>
    <col min="3" max="3" width="10.28515625" style="4" customWidth="1"/>
    <col min="4" max="4" width="10.85546875" style="4" customWidth="1"/>
    <col min="5" max="5" width="12.7109375" style="4" customWidth="1"/>
    <col min="6" max="6" width="12.42578125" style="4" customWidth="1"/>
    <col min="7" max="7" width="12.140625" style="4" customWidth="1"/>
    <col min="8" max="8" width="6.7109375" style="4" customWidth="1"/>
    <col min="9" max="9" width="11.28515625" style="4" bestFit="1" customWidth="1"/>
    <col min="10" max="10" width="9.42578125" style="4" bestFit="1" customWidth="1"/>
    <col min="11" max="11" width="11.28515625" style="4" bestFit="1" customWidth="1"/>
    <col min="12" max="12" width="12.85546875" style="4" bestFit="1" customWidth="1"/>
    <col min="13" max="13" width="11.28515625" style="4" bestFit="1" customWidth="1"/>
    <col min="14" max="14" width="9.140625" style="4" customWidth="1"/>
    <col min="15" max="15" width="12.85546875" style="4" bestFit="1" customWidth="1"/>
    <col min="16" max="16" width="12.7109375" style="4" customWidth="1"/>
    <col min="17" max="17" width="6.7109375" style="4" customWidth="1"/>
    <col min="18" max="16384" width="9.7109375" style="4"/>
  </cols>
  <sheetData>
    <row r="1" spans="1:17" ht="46.5" customHeight="1" x14ac:dyDescent="0.3">
      <c r="A1" s="1">
        <v>2024</v>
      </c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 t="s">
        <v>1</v>
      </c>
      <c r="P1" s="3"/>
      <c r="Q1" s="3"/>
    </row>
    <row r="2" spans="1:17" ht="33" customHeight="1" x14ac:dyDescent="0.3">
      <c r="A2" s="5" t="s">
        <v>2</v>
      </c>
      <c r="B2" s="6" t="s">
        <v>3</v>
      </c>
      <c r="C2" s="6"/>
      <c r="D2" s="6"/>
      <c r="E2" s="7" t="s">
        <v>4</v>
      </c>
      <c r="F2" s="7" t="s">
        <v>5</v>
      </c>
      <c r="G2" s="7" t="s">
        <v>6</v>
      </c>
      <c r="H2" s="7" t="s">
        <v>7</v>
      </c>
      <c r="I2" s="6" t="s">
        <v>8</v>
      </c>
      <c r="J2" s="6"/>
      <c r="K2" s="6"/>
      <c r="L2" s="6" t="s">
        <v>9</v>
      </c>
      <c r="M2" s="6"/>
      <c r="N2" s="6"/>
      <c r="O2" s="6"/>
      <c r="P2" s="7" t="s">
        <v>10</v>
      </c>
      <c r="Q2" s="7" t="s">
        <v>11</v>
      </c>
    </row>
    <row r="3" spans="1:17" ht="155.25" customHeight="1" x14ac:dyDescent="0.3">
      <c r="A3" s="8"/>
      <c r="B3" s="9" t="s">
        <v>12</v>
      </c>
      <c r="C3" s="9" t="s">
        <v>13</v>
      </c>
      <c r="D3" s="9" t="s">
        <v>14</v>
      </c>
      <c r="E3" s="7"/>
      <c r="F3" s="7"/>
      <c r="G3" s="7"/>
      <c r="H3" s="7"/>
      <c r="I3" s="9" t="s">
        <v>15</v>
      </c>
      <c r="J3" s="10" t="s">
        <v>16</v>
      </c>
      <c r="K3" s="9" t="s">
        <v>17</v>
      </c>
      <c r="L3" s="9" t="s">
        <v>18</v>
      </c>
      <c r="M3" s="9" t="s">
        <v>19</v>
      </c>
      <c r="N3" s="9" t="s">
        <v>20</v>
      </c>
      <c r="O3" s="9" t="s">
        <v>21</v>
      </c>
      <c r="P3" s="7"/>
      <c r="Q3" s="7"/>
    </row>
    <row r="4" spans="1:17" ht="23.1" customHeight="1" x14ac:dyDescent="0.3">
      <c r="A4" s="11" t="s">
        <v>22</v>
      </c>
      <c r="B4" s="12">
        <v>497</v>
      </c>
      <c r="C4" s="12">
        <v>700.8</v>
      </c>
      <c r="D4" s="13">
        <v>508</v>
      </c>
      <c r="E4" s="14"/>
      <c r="F4" s="12"/>
      <c r="G4" s="12"/>
      <c r="H4" s="15" t="str">
        <f>IFERROR(F4/G4*100," ")</f>
        <v xml:space="preserve"> </v>
      </c>
      <c r="I4" s="16">
        <v>10043.582000000004</v>
      </c>
      <c r="J4" s="17"/>
      <c r="K4" s="15">
        <f>IF(AND(ISBLANK(I4),ISBLANK(J4))=TRUE,"",I4+J4)</f>
        <v>10043.582000000004</v>
      </c>
      <c r="L4" s="16"/>
      <c r="M4" s="17">
        <v>10731</v>
      </c>
      <c r="N4" s="17"/>
      <c r="O4" s="15">
        <f>IF(AND(ISBLANK(L4),ISBLANK(M4),ISBLANK(N4))=TRUE,"",L4+M4+N4)</f>
        <v>10731</v>
      </c>
      <c r="P4" s="17">
        <v>14835</v>
      </c>
      <c r="Q4" s="15">
        <f>IFERROR(O4/P4*100," ")</f>
        <v>72.335692618806874</v>
      </c>
    </row>
    <row r="5" spans="1:17" ht="23.1" customHeight="1" x14ac:dyDescent="0.3">
      <c r="A5" s="18" t="s">
        <v>23</v>
      </c>
      <c r="B5" s="19">
        <v>581</v>
      </c>
      <c r="C5" s="19">
        <v>832.91666666666663</v>
      </c>
      <c r="D5" s="18">
        <v>600</v>
      </c>
      <c r="E5" s="20"/>
      <c r="F5" s="19"/>
      <c r="G5" s="19"/>
      <c r="H5" s="21" t="str">
        <f t="shared" ref="H5:H16" si="0">IFERROR(F5/G5*100," ")</f>
        <v xml:space="preserve"> </v>
      </c>
      <c r="I5" s="22">
        <v>10783.799000000001</v>
      </c>
      <c r="J5" s="23"/>
      <c r="K5" s="21">
        <f t="shared" ref="K5:K16" si="1">IF(AND(ISBLANK(I5),ISBLANK(J5))=TRUE,"",I5+J5)</f>
        <v>10783.799000000001</v>
      </c>
      <c r="L5" s="22"/>
      <c r="M5" s="23">
        <v>11386</v>
      </c>
      <c r="N5" s="23"/>
      <c r="O5" s="21">
        <f t="shared" ref="O5:O16" si="2">IF(AND(ISBLANK(L5),ISBLANK(M5),ISBLANK(N5))=TRUE,"",L5+M5+N5)</f>
        <v>11386</v>
      </c>
      <c r="P5" s="23">
        <v>16375</v>
      </c>
      <c r="Q5" s="21">
        <f t="shared" ref="Q5:Q16" si="3">IFERROR(O5/P5*100," ")</f>
        <v>69.532824427480918</v>
      </c>
    </row>
    <row r="6" spans="1:17" ht="23.1" customHeight="1" x14ac:dyDescent="0.3">
      <c r="A6" s="24" t="s">
        <v>24</v>
      </c>
      <c r="B6" s="25">
        <v>618</v>
      </c>
      <c r="C6" s="25">
        <v>832</v>
      </c>
      <c r="D6" s="24">
        <v>635</v>
      </c>
      <c r="E6" s="26"/>
      <c r="F6" s="25"/>
      <c r="G6" s="25"/>
      <c r="H6" s="27" t="str">
        <f t="shared" si="0"/>
        <v xml:space="preserve"> </v>
      </c>
      <c r="I6" s="28">
        <v>11853.013000000001</v>
      </c>
      <c r="J6" s="29"/>
      <c r="K6" s="27">
        <f t="shared" si="1"/>
        <v>11853.013000000001</v>
      </c>
      <c r="L6" s="28"/>
      <c r="M6" s="29">
        <v>12515</v>
      </c>
      <c r="N6" s="29"/>
      <c r="O6" s="27">
        <f t="shared" si="2"/>
        <v>12515</v>
      </c>
      <c r="P6" s="29">
        <v>17539</v>
      </c>
      <c r="Q6" s="27">
        <f t="shared" si="3"/>
        <v>71.355265408518164</v>
      </c>
    </row>
    <row r="7" spans="1:17" ht="23.1" customHeight="1" x14ac:dyDescent="0.3">
      <c r="A7" s="18" t="s">
        <v>25</v>
      </c>
      <c r="B7" s="19">
        <v>601</v>
      </c>
      <c r="C7" s="19">
        <v>848.91660000000002</v>
      </c>
      <c r="D7" s="18">
        <v>618</v>
      </c>
      <c r="E7" s="20">
        <v>0</v>
      </c>
      <c r="F7" s="19">
        <v>0</v>
      </c>
      <c r="G7" s="19">
        <v>0</v>
      </c>
      <c r="H7" s="21" t="str">
        <f t="shared" si="0"/>
        <v xml:space="preserve"> </v>
      </c>
      <c r="I7" s="22">
        <v>10758.32</v>
      </c>
      <c r="J7" s="23">
        <v>0</v>
      </c>
      <c r="K7" s="21">
        <f t="shared" si="1"/>
        <v>10758.32</v>
      </c>
      <c r="L7" s="22"/>
      <c r="M7" s="23">
        <v>11231</v>
      </c>
      <c r="N7" s="23"/>
      <c r="O7" s="21">
        <f t="shared" si="2"/>
        <v>11231</v>
      </c>
      <c r="P7" s="23">
        <v>17119</v>
      </c>
      <c r="Q7" s="21">
        <f t="shared" si="3"/>
        <v>65.605467609089317</v>
      </c>
    </row>
    <row r="8" spans="1:17" s="30" customFormat="1" ht="30" customHeight="1" x14ac:dyDescent="0.25">
      <c r="A8" s="24" t="s">
        <v>26</v>
      </c>
      <c r="B8" s="25">
        <v>644</v>
      </c>
      <c r="C8" s="25">
        <v>896.91665999999998</v>
      </c>
      <c r="D8" s="24">
        <v>675</v>
      </c>
      <c r="E8" s="26">
        <v>0</v>
      </c>
      <c r="F8" s="25">
        <v>0</v>
      </c>
      <c r="G8" s="25">
        <v>0</v>
      </c>
      <c r="H8" s="27" t="str">
        <f t="shared" si="0"/>
        <v xml:space="preserve"> </v>
      </c>
      <c r="I8" s="28">
        <v>12043.582000000002</v>
      </c>
      <c r="J8" s="29">
        <v>0</v>
      </c>
      <c r="K8" s="27">
        <f t="shared" si="1"/>
        <v>12043.582000000002</v>
      </c>
      <c r="L8" s="28">
        <v>0</v>
      </c>
      <c r="M8" s="29">
        <v>12858</v>
      </c>
      <c r="N8" s="29">
        <v>0</v>
      </c>
      <c r="O8" s="27">
        <f t="shared" si="2"/>
        <v>12858</v>
      </c>
      <c r="P8" s="29">
        <v>18682</v>
      </c>
      <c r="Q8" s="27">
        <f t="shared" si="3"/>
        <v>68.825607536666311</v>
      </c>
    </row>
    <row r="9" spans="1:17" ht="23.1" customHeight="1" x14ac:dyDescent="0.3">
      <c r="A9" s="18" t="s">
        <v>27</v>
      </c>
      <c r="B9" s="19">
        <v>640</v>
      </c>
      <c r="C9" s="19">
        <v>891.75</v>
      </c>
      <c r="D9" s="18">
        <v>682</v>
      </c>
      <c r="E9" s="20">
        <v>0</v>
      </c>
      <c r="F9" s="19"/>
      <c r="G9" s="19"/>
      <c r="H9" s="21" t="str">
        <f t="shared" si="0"/>
        <v xml:space="preserve"> </v>
      </c>
      <c r="I9" s="22">
        <v>12112.131000000007</v>
      </c>
      <c r="J9" s="23"/>
      <c r="K9" s="21">
        <f t="shared" si="1"/>
        <v>12112.131000000007</v>
      </c>
      <c r="L9" s="22"/>
      <c r="M9" s="23">
        <v>13032</v>
      </c>
      <c r="N9" s="23"/>
      <c r="O9" s="21">
        <f t="shared" si="2"/>
        <v>13032</v>
      </c>
      <c r="P9" s="23">
        <v>18851</v>
      </c>
      <c r="Q9" s="21">
        <f t="shared" si="3"/>
        <v>69.131611055116437</v>
      </c>
    </row>
    <row r="10" spans="1:17" ht="23.1" customHeight="1" x14ac:dyDescent="0.3">
      <c r="A10" s="24" t="s">
        <v>28</v>
      </c>
      <c r="B10" s="25">
        <v>610</v>
      </c>
      <c r="C10" s="25">
        <v>872.33333333333337</v>
      </c>
      <c r="D10" s="24">
        <v>627</v>
      </c>
      <c r="E10" s="26"/>
      <c r="F10" s="25"/>
      <c r="G10" s="25"/>
      <c r="H10" s="27" t="str">
        <f t="shared" si="0"/>
        <v xml:space="preserve"> </v>
      </c>
      <c r="I10" s="28">
        <v>11709.692000000005</v>
      </c>
      <c r="J10" s="29"/>
      <c r="K10" s="27">
        <f t="shared" si="1"/>
        <v>11709.692000000005</v>
      </c>
      <c r="L10" s="28"/>
      <c r="M10" s="29">
        <v>12348</v>
      </c>
      <c r="N10" s="29"/>
      <c r="O10" s="27">
        <f t="shared" si="2"/>
        <v>12348</v>
      </c>
      <c r="P10" s="29">
        <v>17311</v>
      </c>
      <c r="Q10" s="27">
        <f t="shared" si="3"/>
        <v>71.330367974120506</v>
      </c>
    </row>
    <row r="11" spans="1:17" ht="23.1" customHeight="1" x14ac:dyDescent="0.3">
      <c r="A11" s="18" t="s">
        <v>29</v>
      </c>
      <c r="B11" s="19">
        <v>627</v>
      </c>
      <c r="C11" s="19">
        <v>892.5</v>
      </c>
      <c r="D11" s="18">
        <v>665</v>
      </c>
      <c r="E11" s="20"/>
      <c r="F11" s="19"/>
      <c r="G11" s="19"/>
      <c r="H11" s="21" t="str">
        <f t="shared" si="0"/>
        <v xml:space="preserve"> </v>
      </c>
      <c r="I11" s="22">
        <v>12134.716999999993</v>
      </c>
      <c r="J11" s="23"/>
      <c r="K11" s="21">
        <f t="shared" si="1"/>
        <v>12134.716999999993</v>
      </c>
      <c r="L11" s="22"/>
      <c r="M11" s="23">
        <v>12973</v>
      </c>
      <c r="N11" s="23"/>
      <c r="O11" s="21">
        <f t="shared" si="2"/>
        <v>12973</v>
      </c>
      <c r="P11" s="23">
        <v>18669</v>
      </c>
      <c r="Q11" s="21">
        <f t="shared" si="3"/>
        <v>69.48952809470245</v>
      </c>
    </row>
    <row r="12" spans="1:17" ht="23.1" customHeight="1" x14ac:dyDescent="0.3">
      <c r="A12" s="24" t="s">
        <v>30</v>
      </c>
      <c r="B12" s="25">
        <v>526</v>
      </c>
      <c r="C12" s="25">
        <v>736.91666666666663</v>
      </c>
      <c r="D12" s="24">
        <v>512</v>
      </c>
      <c r="E12" s="26"/>
      <c r="F12" s="25"/>
      <c r="G12" s="25"/>
      <c r="H12" s="27" t="str">
        <f t="shared" si="0"/>
        <v xml:space="preserve"> </v>
      </c>
      <c r="I12" s="28">
        <v>10595.121999999983</v>
      </c>
      <c r="J12" s="29"/>
      <c r="K12" s="27">
        <f t="shared" si="1"/>
        <v>10595.121999999983</v>
      </c>
      <c r="L12" s="28"/>
      <c r="M12" s="29">
        <v>10521</v>
      </c>
      <c r="N12" s="29"/>
      <c r="O12" s="27">
        <f t="shared" si="2"/>
        <v>10521</v>
      </c>
      <c r="P12" s="29">
        <v>14677</v>
      </c>
      <c r="Q12" s="27">
        <f t="shared" si="3"/>
        <v>71.683586564011719</v>
      </c>
    </row>
    <row r="13" spans="1:17" ht="23.1" customHeight="1" x14ac:dyDescent="0.3">
      <c r="A13" s="18" t="s">
        <v>31</v>
      </c>
      <c r="B13" s="19">
        <v>589</v>
      </c>
      <c r="C13" s="19">
        <v>821.66666666666663</v>
      </c>
      <c r="D13" s="18">
        <v>585</v>
      </c>
      <c r="E13" s="20"/>
      <c r="F13" s="19"/>
      <c r="G13" s="19"/>
      <c r="H13" s="21" t="str">
        <f t="shared" si="0"/>
        <v xml:space="preserve"> </v>
      </c>
      <c r="I13" s="22">
        <v>11821.221999999989</v>
      </c>
      <c r="J13" s="23"/>
      <c r="K13" s="21">
        <f t="shared" si="1"/>
        <v>11821.221999999989</v>
      </c>
      <c r="L13" s="22"/>
      <c r="M13" s="23">
        <v>11878</v>
      </c>
      <c r="N13" s="23"/>
      <c r="O13" s="21">
        <f t="shared" si="2"/>
        <v>11878</v>
      </c>
      <c r="P13" s="23">
        <v>16584</v>
      </c>
      <c r="Q13" s="21">
        <f t="shared" si="3"/>
        <v>71.623251326579833</v>
      </c>
    </row>
    <row r="14" spans="1:17" ht="23.1" customHeight="1" x14ac:dyDescent="0.3">
      <c r="A14" s="24" t="s">
        <v>32</v>
      </c>
      <c r="B14" s="25">
        <v>581</v>
      </c>
      <c r="C14" s="25">
        <v>836.41666666666663</v>
      </c>
      <c r="D14" s="24">
        <v>568</v>
      </c>
      <c r="E14" s="26">
        <v>0</v>
      </c>
      <c r="F14" s="25"/>
      <c r="G14" s="25"/>
      <c r="H14" s="27" t="str">
        <f t="shared" si="0"/>
        <v xml:space="preserve"> </v>
      </c>
      <c r="I14" s="28">
        <v>10773.718000000003</v>
      </c>
      <c r="J14" s="29"/>
      <c r="K14" s="27">
        <f t="shared" si="1"/>
        <v>10773.718000000003</v>
      </c>
      <c r="L14" s="28"/>
      <c r="M14" s="29">
        <v>10755</v>
      </c>
      <c r="N14" s="29"/>
      <c r="O14" s="27">
        <f t="shared" si="2"/>
        <v>10755</v>
      </c>
      <c r="P14" s="29">
        <v>15743</v>
      </c>
      <c r="Q14" s="27">
        <f t="shared" si="3"/>
        <v>68.316076986597224</v>
      </c>
    </row>
    <row r="15" spans="1:17" ht="23.1" customHeight="1" x14ac:dyDescent="0.3">
      <c r="A15" s="31" t="s">
        <v>33</v>
      </c>
      <c r="B15" s="32">
        <v>653</v>
      </c>
      <c r="C15" s="32">
        <v>954.66600000000005</v>
      </c>
      <c r="D15" s="33">
        <v>651</v>
      </c>
      <c r="E15" s="34"/>
      <c r="F15" s="32"/>
      <c r="G15" s="32"/>
      <c r="H15" s="35" t="str">
        <f t="shared" si="0"/>
        <v xml:space="preserve"> </v>
      </c>
      <c r="I15" s="36">
        <v>12104.42799999998</v>
      </c>
      <c r="J15" s="37"/>
      <c r="K15" s="35">
        <f t="shared" si="1"/>
        <v>12104.42799999998</v>
      </c>
      <c r="L15" s="36"/>
      <c r="M15" s="37">
        <v>12171</v>
      </c>
      <c r="N15" s="37"/>
      <c r="O15" s="35">
        <f t="shared" si="2"/>
        <v>12171</v>
      </c>
      <c r="P15" s="23">
        <v>18868</v>
      </c>
      <c r="Q15" s="21">
        <f t="shared" si="3"/>
        <v>64.50604197583209</v>
      </c>
    </row>
    <row r="16" spans="1:17" ht="23.1" customHeight="1" x14ac:dyDescent="0.3">
      <c r="A16" s="38" t="s">
        <v>34</v>
      </c>
      <c r="B16" s="39">
        <f t="shared" ref="B16:G16" si="4">SUM(B4:B15)</f>
        <v>7167</v>
      </c>
      <c r="C16" s="39">
        <f t="shared" si="4"/>
        <v>10117.799259999998</v>
      </c>
      <c r="D16" s="39">
        <f t="shared" si="4"/>
        <v>7326</v>
      </c>
      <c r="E16" s="39">
        <f t="shared" si="4"/>
        <v>0</v>
      </c>
      <c r="F16" s="39">
        <f t="shared" si="4"/>
        <v>0</v>
      </c>
      <c r="G16" s="39">
        <f t="shared" si="4"/>
        <v>0</v>
      </c>
      <c r="H16" s="40" t="str">
        <f t="shared" si="0"/>
        <v xml:space="preserve"> </v>
      </c>
      <c r="I16" s="40">
        <f>SUM(I4:I15)</f>
        <v>136733.32599999997</v>
      </c>
      <c r="J16" s="40">
        <f>SUM(J4:J15)</f>
        <v>0</v>
      </c>
      <c r="K16" s="40">
        <f t="shared" si="1"/>
        <v>136733.32599999997</v>
      </c>
      <c r="L16" s="40">
        <f>SUM(L4:L15)</f>
        <v>0</v>
      </c>
      <c r="M16" s="40">
        <f>SUM(M4:M15)</f>
        <v>142399</v>
      </c>
      <c r="N16" s="40">
        <f>SUM(N4:N15)</f>
        <v>0</v>
      </c>
      <c r="O16" s="40">
        <f t="shared" si="2"/>
        <v>142399</v>
      </c>
      <c r="P16" s="41">
        <f>SUM(P4:P15)</f>
        <v>205253</v>
      </c>
      <c r="Q16" s="41">
        <f t="shared" si="3"/>
        <v>69.377305082020726</v>
      </c>
    </row>
    <row r="17" spans="1:17" ht="20.100000000000001" customHeight="1" x14ac:dyDescent="0.3">
      <c r="A17" s="42" t="s">
        <v>35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</row>
    <row r="18" spans="1:17" s="45" customFormat="1" x14ac:dyDescent="0.25">
      <c r="A18" s="44" t="s">
        <v>36</v>
      </c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</row>
    <row r="19" spans="1:17" s="45" customFormat="1" x14ac:dyDescent="0.25">
      <c r="A19" s="44" t="s">
        <v>37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</row>
    <row r="20" spans="1:17" ht="51.75" customHeight="1" x14ac:dyDescent="0.3">
      <c r="A20" s="46">
        <v>2024</v>
      </c>
      <c r="B20" s="46"/>
      <c r="C20" s="47" t="s">
        <v>38</v>
      </c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8" t="s">
        <v>1</v>
      </c>
      <c r="P20" s="48"/>
      <c r="Q20" s="49"/>
    </row>
    <row r="21" spans="1:17" ht="33" customHeight="1" x14ac:dyDescent="0.3">
      <c r="A21" s="50" t="s">
        <v>2</v>
      </c>
      <c r="B21" s="50" t="s">
        <v>3</v>
      </c>
      <c r="C21" s="50"/>
      <c r="D21" s="50"/>
      <c r="E21" s="51" t="s">
        <v>4</v>
      </c>
      <c r="F21" s="51" t="s">
        <v>5</v>
      </c>
      <c r="G21" s="51" t="s">
        <v>6</v>
      </c>
      <c r="H21" s="51" t="s">
        <v>7</v>
      </c>
      <c r="I21" s="50" t="s">
        <v>8</v>
      </c>
      <c r="J21" s="50"/>
      <c r="K21" s="50"/>
      <c r="L21" s="50" t="s">
        <v>9</v>
      </c>
      <c r="M21" s="50"/>
      <c r="N21" s="50"/>
      <c r="O21" s="50"/>
      <c r="P21" s="51" t="s">
        <v>10</v>
      </c>
      <c r="Q21" s="51" t="s">
        <v>11</v>
      </c>
    </row>
    <row r="22" spans="1:17" ht="150.75" customHeight="1" x14ac:dyDescent="0.3">
      <c r="A22" s="50"/>
      <c r="B22" s="52" t="s">
        <v>12</v>
      </c>
      <c r="C22" s="52" t="s">
        <v>13</v>
      </c>
      <c r="D22" s="52" t="s">
        <v>14</v>
      </c>
      <c r="E22" s="51"/>
      <c r="F22" s="51"/>
      <c r="G22" s="51"/>
      <c r="H22" s="51"/>
      <c r="I22" s="52" t="s">
        <v>15</v>
      </c>
      <c r="J22" s="53" t="s">
        <v>16</v>
      </c>
      <c r="K22" s="52" t="s">
        <v>17</v>
      </c>
      <c r="L22" s="54" t="s">
        <v>18</v>
      </c>
      <c r="M22" s="54" t="s">
        <v>19</v>
      </c>
      <c r="N22" s="54" t="s">
        <v>20</v>
      </c>
      <c r="O22" s="54" t="s">
        <v>21</v>
      </c>
      <c r="P22" s="55"/>
      <c r="Q22" s="55"/>
    </row>
    <row r="23" spans="1:17" ht="23.1" customHeight="1" x14ac:dyDescent="0.3">
      <c r="A23" s="56" t="s">
        <v>22</v>
      </c>
      <c r="B23" s="57"/>
      <c r="C23" s="58"/>
      <c r="D23" s="59"/>
      <c r="E23" s="57"/>
      <c r="F23" s="58"/>
      <c r="G23" s="58"/>
      <c r="H23" s="60" t="str">
        <f t="shared" ref="H23:H35" si="5">IFERROR(F23/G23*100," ")</f>
        <v xml:space="preserve"> </v>
      </c>
      <c r="I23" s="61"/>
      <c r="J23" s="61"/>
      <c r="K23" s="61" t="str">
        <f>IF(AND(ISBLANK(I23),ISBLANK(J23))=TRUE,"",I23+J23)</f>
        <v/>
      </c>
      <c r="L23" s="62"/>
      <c r="M23" s="61"/>
      <c r="N23" s="61"/>
      <c r="O23" s="63" t="str">
        <f>IF(AND(ISBLANK(L23),ISBLANK(M23),ISBLANK(N23))=TRUE,"",L23+M23+N23)</f>
        <v/>
      </c>
      <c r="P23" s="62"/>
      <c r="Q23" s="63" t="str">
        <f>IFERROR(O23/P23*100," ")</f>
        <v xml:space="preserve"> </v>
      </c>
    </row>
    <row r="24" spans="1:17" ht="23.1" customHeight="1" x14ac:dyDescent="0.3">
      <c r="A24" s="64" t="s">
        <v>23</v>
      </c>
      <c r="B24" s="65"/>
      <c r="C24" s="64"/>
      <c r="D24" s="66"/>
      <c r="E24" s="65"/>
      <c r="F24" s="64"/>
      <c r="G24" s="64"/>
      <c r="H24" s="67" t="str">
        <f t="shared" si="5"/>
        <v xml:space="preserve"> </v>
      </c>
      <c r="I24" s="68"/>
      <c r="J24" s="68"/>
      <c r="K24" s="68" t="str">
        <f t="shared" ref="K24:K35" si="6">IF(AND(ISBLANK(I24),ISBLANK(J24))=TRUE,"",I24+J24)</f>
        <v/>
      </c>
      <c r="L24" s="69"/>
      <c r="M24" s="68"/>
      <c r="N24" s="68"/>
      <c r="O24" s="67" t="str">
        <f t="shared" ref="O24:O35" si="7">IF(AND(ISBLANK(L24),ISBLANK(M24),ISBLANK(N24))=TRUE,"",L24+M24+N24)</f>
        <v/>
      </c>
      <c r="P24" s="69"/>
      <c r="Q24" s="67" t="str">
        <f t="shared" ref="Q24:Q35" si="8">IFERROR(O24/P24*100," ")</f>
        <v xml:space="preserve"> </v>
      </c>
    </row>
    <row r="25" spans="1:17" ht="23.1" customHeight="1" x14ac:dyDescent="0.3">
      <c r="A25" s="56" t="s">
        <v>24</v>
      </c>
      <c r="B25" s="70"/>
      <c r="C25" s="56"/>
      <c r="D25" s="71"/>
      <c r="E25" s="70"/>
      <c r="F25" s="56"/>
      <c r="G25" s="56"/>
      <c r="H25" s="60" t="str">
        <f t="shared" si="5"/>
        <v xml:space="preserve"> </v>
      </c>
      <c r="I25" s="72"/>
      <c r="J25" s="72"/>
      <c r="K25" s="72" t="str">
        <f t="shared" si="6"/>
        <v/>
      </c>
      <c r="L25" s="73"/>
      <c r="M25" s="72"/>
      <c r="N25" s="72"/>
      <c r="O25" s="60" t="str">
        <f t="shared" si="7"/>
        <v/>
      </c>
      <c r="P25" s="73"/>
      <c r="Q25" s="60" t="str">
        <f t="shared" si="8"/>
        <v xml:space="preserve"> </v>
      </c>
    </row>
    <row r="26" spans="1:17" ht="23.1" customHeight="1" x14ac:dyDescent="0.3">
      <c r="A26" s="64" t="s">
        <v>25</v>
      </c>
      <c r="B26" s="65"/>
      <c r="C26" s="64"/>
      <c r="D26" s="66"/>
      <c r="E26" s="65"/>
      <c r="F26" s="64"/>
      <c r="G26" s="64"/>
      <c r="H26" s="67" t="str">
        <f t="shared" si="5"/>
        <v xml:space="preserve"> </v>
      </c>
      <c r="I26" s="68"/>
      <c r="J26" s="68"/>
      <c r="K26" s="68" t="str">
        <f t="shared" si="6"/>
        <v/>
      </c>
      <c r="L26" s="69"/>
      <c r="M26" s="68"/>
      <c r="N26" s="68"/>
      <c r="O26" s="67" t="str">
        <f t="shared" si="7"/>
        <v/>
      </c>
      <c r="P26" s="69"/>
      <c r="Q26" s="67" t="str">
        <f t="shared" si="8"/>
        <v xml:space="preserve"> </v>
      </c>
    </row>
    <row r="27" spans="1:17" s="30" customFormat="1" ht="30" customHeight="1" x14ac:dyDescent="0.25">
      <c r="A27" s="56" t="s">
        <v>26</v>
      </c>
      <c r="B27" s="70"/>
      <c r="C27" s="56"/>
      <c r="D27" s="71"/>
      <c r="E27" s="70"/>
      <c r="F27" s="56"/>
      <c r="G27" s="56"/>
      <c r="H27" s="60" t="str">
        <f t="shared" si="5"/>
        <v xml:space="preserve"> </v>
      </c>
      <c r="I27" s="72"/>
      <c r="J27" s="72"/>
      <c r="K27" s="72" t="str">
        <f t="shared" si="6"/>
        <v/>
      </c>
      <c r="L27" s="73"/>
      <c r="M27" s="72"/>
      <c r="N27" s="72"/>
      <c r="O27" s="60" t="str">
        <f t="shared" si="7"/>
        <v/>
      </c>
      <c r="P27" s="73"/>
      <c r="Q27" s="60" t="str">
        <f t="shared" si="8"/>
        <v xml:space="preserve"> </v>
      </c>
    </row>
    <row r="28" spans="1:17" ht="23.1" customHeight="1" x14ac:dyDescent="0.3">
      <c r="A28" s="64" t="s">
        <v>27</v>
      </c>
      <c r="B28" s="65"/>
      <c r="C28" s="64"/>
      <c r="D28" s="66"/>
      <c r="E28" s="65"/>
      <c r="F28" s="64"/>
      <c r="G28" s="64"/>
      <c r="H28" s="67" t="str">
        <f t="shared" si="5"/>
        <v xml:space="preserve"> </v>
      </c>
      <c r="I28" s="68"/>
      <c r="J28" s="68"/>
      <c r="K28" s="68" t="str">
        <f t="shared" si="6"/>
        <v/>
      </c>
      <c r="L28" s="69"/>
      <c r="M28" s="68"/>
      <c r="N28" s="68"/>
      <c r="O28" s="67" t="str">
        <f t="shared" si="7"/>
        <v/>
      </c>
      <c r="P28" s="69"/>
      <c r="Q28" s="67" t="str">
        <f t="shared" si="8"/>
        <v xml:space="preserve"> </v>
      </c>
    </row>
    <row r="29" spans="1:17" ht="23.1" customHeight="1" x14ac:dyDescent="0.3">
      <c r="A29" s="56" t="s">
        <v>28</v>
      </c>
      <c r="B29" s="70"/>
      <c r="C29" s="56"/>
      <c r="D29" s="71"/>
      <c r="E29" s="70"/>
      <c r="F29" s="56"/>
      <c r="G29" s="56"/>
      <c r="H29" s="60" t="str">
        <f t="shared" si="5"/>
        <v xml:space="preserve"> </v>
      </c>
      <c r="I29" s="72"/>
      <c r="J29" s="72"/>
      <c r="K29" s="72" t="str">
        <f t="shared" si="6"/>
        <v/>
      </c>
      <c r="L29" s="73"/>
      <c r="M29" s="72"/>
      <c r="N29" s="72"/>
      <c r="O29" s="60" t="str">
        <f t="shared" si="7"/>
        <v/>
      </c>
      <c r="P29" s="73"/>
      <c r="Q29" s="60" t="str">
        <f t="shared" si="8"/>
        <v xml:space="preserve"> </v>
      </c>
    </row>
    <row r="30" spans="1:17" ht="23.1" customHeight="1" x14ac:dyDescent="0.3">
      <c r="A30" s="64" t="s">
        <v>29</v>
      </c>
      <c r="B30" s="65"/>
      <c r="C30" s="64"/>
      <c r="D30" s="66"/>
      <c r="E30" s="65"/>
      <c r="F30" s="64"/>
      <c r="G30" s="64"/>
      <c r="H30" s="67" t="str">
        <f t="shared" si="5"/>
        <v xml:space="preserve"> </v>
      </c>
      <c r="I30" s="68"/>
      <c r="J30" s="68"/>
      <c r="K30" s="68" t="str">
        <f t="shared" si="6"/>
        <v/>
      </c>
      <c r="L30" s="69"/>
      <c r="M30" s="68"/>
      <c r="N30" s="68"/>
      <c r="O30" s="67" t="str">
        <f t="shared" si="7"/>
        <v/>
      </c>
      <c r="P30" s="69"/>
      <c r="Q30" s="67" t="str">
        <f t="shared" si="8"/>
        <v xml:space="preserve"> </v>
      </c>
    </row>
    <row r="31" spans="1:17" ht="23.1" customHeight="1" x14ac:dyDescent="0.3">
      <c r="A31" s="56" t="s">
        <v>30</v>
      </c>
      <c r="B31" s="70"/>
      <c r="C31" s="56"/>
      <c r="D31" s="71"/>
      <c r="E31" s="70"/>
      <c r="F31" s="56"/>
      <c r="G31" s="56"/>
      <c r="H31" s="60" t="str">
        <f t="shared" si="5"/>
        <v xml:space="preserve"> </v>
      </c>
      <c r="I31" s="72"/>
      <c r="J31" s="72"/>
      <c r="K31" s="72" t="str">
        <f t="shared" si="6"/>
        <v/>
      </c>
      <c r="L31" s="73"/>
      <c r="M31" s="72"/>
      <c r="N31" s="72"/>
      <c r="O31" s="60" t="str">
        <f t="shared" si="7"/>
        <v/>
      </c>
      <c r="P31" s="73"/>
      <c r="Q31" s="60" t="str">
        <f t="shared" si="8"/>
        <v xml:space="preserve"> </v>
      </c>
    </row>
    <row r="32" spans="1:17" ht="23.1" customHeight="1" x14ac:dyDescent="0.3">
      <c r="A32" s="64" t="s">
        <v>31</v>
      </c>
      <c r="B32" s="65"/>
      <c r="C32" s="64"/>
      <c r="D32" s="66"/>
      <c r="E32" s="65"/>
      <c r="F32" s="64"/>
      <c r="G32" s="64"/>
      <c r="H32" s="67" t="str">
        <f t="shared" si="5"/>
        <v xml:space="preserve"> </v>
      </c>
      <c r="I32" s="68"/>
      <c r="J32" s="68"/>
      <c r="K32" s="68" t="str">
        <f t="shared" si="6"/>
        <v/>
      </c>
      <c r="L32" s="69"/>
      <c r="M32" s="68"/>
      <c r="N32" s="68"/>
      <c r="O32" s="67" t="str">
        <f t="shared" si="7"/>
        <v/>
      </c>
      <c r="P32" s="69"/>
      <c r="Q32" s="67" t="str">
        <f t="shared" si="8"/>
        <v xml:space="preserve"> </v>
      </c>
    </row>
    <row r="33" spans="1:17" ht="23.1" customHeight="1" x14ac:dyDescent="0.3">
      <c r="A33" s="56" t="s">
        <v>32</v>
      </c>
      <c r="B33" s="70"/>
      <c r="C33" s="56"/>
      <c r="D33" s="71"/>
      <c r="E33" s="70"/>
      <c r="F33" s="56"/>
      <c r="G33" s="56"/>
      <c r="H33" s="60" t="str">
        <f t="shared" si="5"/>
        <v xml:space="preserve"> </v>
      </c>
      <c r="I33" s="72"/>
      <c r="J33" s="72"/>
      <c r="K33" s="72" t="str">
        <f t="shared" si="6"/>
        <v/>
      </c>
      <c r="L33" s="73"/>
      <c r="M33" s="72"/>
      <c r="N33" s="72"/>
      <c r="O33" s="60" t="str">
        <f t="shared" si="7"/>
        <v/>
      </c>
      <c r="P33" s="73"/>
      <c r="Q33" s="60" t="str">
        <f t="shared" si="8"/>
        <v xml:space="preserve"> </v>
      </c>
    </row>
    <row r="34" spans="1:17" ht="23.1" customHeight="1" x14ac:dyDescent="0.3">
      <c r="A34" s="64" t="s">
        <v>33</v>
      </c>
      <c r="B34" s="74"/>
      <c r="C34" s="75"/>
      <c r="D34" s="76"/>
      <c r="E34" s="74"/>
      <c r="F34" s="75"/>
      <c r="G34" s="75"/>
      <c r="H34" s="67" t="str">
        <f t="shared" si="5"/>
        <v xml:space="preserve"> </v>
      </c>
      <c r="I34" s="77"/>
      <c r="J34" s="77"/>
      <c r="K34" s="77" t="str">
        <f t="shared" si="6"/>
        <v/>
      </c>
      <c r="L34" s="78"/>
      <c r="M34" s="77"/>
      <c r="N34" s="77"/>
      <c r="O34" s="79" t="str">
        <f t="shared" si="7"/>
        <v/>
      </c>
      <c r="P34" s="78"/>
      <c r="Q34" s="79" t="str">
        <f t="shared" si="8"/>
        <v xml:space="preserve"> </v>
      </c>
    </row>
    <row r="35" spans="1:17" ht="23.1" customHeight="1" x14ac:dyDescent="0.3">
      <c r="A35" s="80" t="s">
        <v>34</v>
      </c>
      <c r="B35" s="81">
        <f t="shared" ref="B35:G35" si="9">SUM(B23:B34)</f>
        <v>0</v>
      </c>
      <c r="C35" s="81">
        <f t="shared" si="9"/>
        <v>0</v>
      </c>
      <c r="D35" s="81">
        <f t="shared" si="9"/>
        <v>0</v>
      </c>
      <c r="E35" s="81">
        <f t="shared" si="9"/>
        <v>0</v>
      </c>
      <c r="F35" s="81">
        <f t="shared" si="9"/>
        <v>0</v>
      </c>
      <c r="G35" s="81">
        <f t="shared" si="9"/>
        <v>0</v>
      </c>
      <c r="H35" s="82" t="str">
        <f t="shared" si="5"/>
        <v xml:space="preserve"> </v>
      </c>
      <c r="I35" s="83">
        <f>SUM(I23:I34)</f>
        <v>0</v>
      </c>
      <c r="J35" s="83">
        <f>SUM(J23:J34)</f>
        <v>0</v>
      </c>
      <c r="K35" s="83">
        <f t="shared" si="6"/>
        <v>0</v>
      </c>
      <c r="L35" s="83">
        <f>SUM(L23:L34)</f>
        <v>0</v>
      </c>
      <c r="M35" s="83">
        <f>SUM(M23:M34)</f>
        <v>0</v>
      </c>
      <c r="N35" s="83">
        <f>SUM(N23:N34)</f>
        <v>0</v>
      </c>
      <c r="O35" s="83">
        <f t="shared" si="7"/>
        <v>0</v>
      </c>
      <c r="P35" s="83">
        <f>SUM(P23:P34)</f>
        <v>0</v>
      </c>
      <c r="Q35" s="83" t="str">
        <f t="shared" si="8"/>
        <v xml:space="preserve"> </v>
      </c>
    </row>
    <row r="36" spans="1:17" x14ac:dyDescent="0.3">
      <c r="A36" s="42" t="s">
        <v>35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</row>
    <row r="37" spans="1:17" x14ac:dyDescent="0.3">
      <c r="A37" s="44" t="s">
        <v>36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</row>
    <row r="38" spans="1:17" x14ac:dyDescent="0.3">
      <c r="A38" s="44" t="s">
        <v>37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</row>
    <row r="39" spans="1:17" ht="40.5" customHeight="1" x14ac:dyDescent="0.3">
      <c r="A39" s="84">
        <v>2024</v>
      </c>
      <c r="B39" s="84"/>
      <c r="C39" s="85" t="s">
        <v>39</v>
      </c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6" t="s">
        <v>1</v>
      </c>
      <c r="P39" s="86"/>
      <c r="Q39" s="86"/>
    </row>
    <row r="40" spans="1:17" ht="28.9" customHeight="1" x14ac:dyDescent="0.3">
      <c r="A40" s="87" t="s">
        <v>2</v>
      </c>
      <c r="B40" s="87" t="s">
        <v>3</v>
      </c>
      <c r="C40" s="87"/>
      <c r="D40" s="87"/>
      <c r="E40" s="88" t="s">
        <v>4</v>
      </c>
      <c r="F40" s="88" t="s">
        <v>5</v>
      </c>
      <c r="G40" s="88" t="s">
        <v>6</v>
      </c>
      <c r="H40" s="88" t="s">
        <v>7</v>
      </c>
      <c r="I40" s="87" t="s">
        <v>8</v>
      </c>
      <c r="J40" s="87"/>
      <c r="K40" s="87"/>
      <c r="L40" s="87" t="s">
        <v>9</v>
      </c>
      <c r="M40" s="87"/>
      <c r="N40" s="87"/>
      <c r="O40" s="87"/>
      <c r="P40" s="88" t="s">
        <v>10</v>
      </c>
      <c r="Q40" s="88" t="s">
        <v>11</v>
      </c>
    </row>
    <row r="41" spans="1:17" ht="178.5" customHeight="1" x14ac:dyDescent="0.3">
      <c r="A41" s="87"/>
      <c r="B41" s="89" t="s">
        <v>12</v>
      </c>
      <c r="C41" s="89" t="s">
        <v>13</v>
      </c>
      <c r="D41" s="89" t="s">
        <v>14</v>
      </c>
      <c r="E41" s="90"/>
      <c r="F41" s="90"/>
      <c r="G41" s="90"/>
      <c r="H41" s="90"/>
      <c r="I41" s="89" t="s">
        <v>15</v>
      </c>
      <c r="J41" s="91" t="s">
        <v>16</v>
      </c>
      <c r="K41" s="89" t="s">
        <v>17</v>
      </c>
      <c r="L41" s="89" t="s">
        <v>18</v>
      </c>
      <c r="M41" s="89" t="s">
        <v>19</v>
      </c>
      <c r="N41" s="89" t="s">
        <v>20</v>
      </c>
      <c r="O41" s="89" t="s">
        <v>21</v>
      </c>
      <c r="P41" s="90"/>
      <c r="Q41" s="90"/>
    </row>
    <row r="42" spans="1:17" ht="25.5" customHeight="1" x14ac:dyDescent="0.3">
      <c r="A42" s="92" t="s">
        <v>22</v>
      </c>
      <c r="B42" s="93">
        <v>43</v>
      </c>
      <c r="C42" s="94">
        <v>75.333333333333329</v>
      </c>
      <c r="D42" s="95">
        <v>47</v>
      </c>
      <c r="E42" s="93"/>
      <c r="F42" s="94"/>
      <c r="G42" s="94"/>
      <c r="H42" s="96" t="str">
        <f t="shared" ref="H42:H54" si="10">IFERROR(F42/G42*100," ")</f>
        <v xml:space="preserve"> </v>
      </c>
      <c r="I42" s="97">
        <v>582.88000000000011</v>
      </c>
      <c r="J42" s="98"/>
      <c r="K42" s="96">
        <f>IF(AND(ISBLANK(I42),ISBLANK(J42))=TRUE,"",I42+J42)</f>
        <v>582.88000000000011</v>
      </c>
      <c r="L42" s="97"/>
      <c r="M42" s="98">
        <v>678</v>
      </c>
      <c r="N42" s="98"/>
      <c r="O42" s="96">
        <f>IF(AND(ISBLANK(L42),ISBLANK(M42),ISBLANK(N42))=TRUE,"",L42+M42+N42)</f>
        <v>678</v>
      </c>
      <c r="P42" s="97">
        <v>1031</v>
      </c>
      <c r="Q42" s="96">
        <f>IFERROR(O42/P42*100," ")</f>
        <v>65.76139670223084</v>
      </c>
    </row>
    <row r="43" spans="1:17" ht="25.5" customHeight="1" x14ac:dyDescent="0.3">
      <c r="A43" s="99" t="s">
        <v>23</v>
      </c>
      <c r="B43" s="100">
        <v>6</v>
      </c>
      <c r="C43" s="101">
        <v>10.25</v>
      </c>
      <c r="D43" s="102">
        <v>6</v>
      </c>
      <c r="E43" s="100"/>
      <c r="F43" s="101"/>
      <c r="G43" s="101"/>
      <c r="H43" s="103" t="str">
        <f t="shared" si="10"/>
        <v xml:space="preserve"> </v>
      </c>
      <c r="I43" s="104">
        <v>110.476</v>
      </c>
      <c r="J43" s="105"/>
      <c r="K43" s="103">
        <f t="shared" ref="K43:K54" si="11">IF(AND(ISBLANK(I43),ISBLANK(J43))=TRUE,"",I43+J43)</f>
        <v>110.476</v>
      </c>
      <c r="L43" s="104"/>
      <c r="M43" s="105">
        <v>130</v>
      </c>
      <c r="N43" s="105"/>
      <c r="O43" s="103">
        <f t="shared" ref="O43:O54" si="12">IF(AND(ISBLANK(L43),ISBLANK(M43),ISBLANK(N43))=TRUE,"",L43+M43+N43)</f>
        <v>130</v>
      </c>
      <c r="P43" s="104">
        <v>176</v>
      </c>
      <c r="Q43" s="103">
        <f t="shared" ref="Q43:Q54" si="13">IFERROR(O43/P43*100," ")</f>
        <v>73.86363636363636</v>
      </c>
    </row>
    <row r="44" spans="1:17" ht="25.5" customHeight="1" x14ac:dyDescent="0.3">
      <c r="A44" s="92" t="s">
        <v>24</v>
      </c>
      <c r="B44" s="106">
        <v>7</v>
      </c>
      <c r="C44" s="107">
        <v>13.333333333333334</v>
      </c>
      <c r="D44" s="108">
        <v>8</v>
      </c>
      <c r="E44" s="106"/>
      <c r="F44" s="107"/>
      <c r="G44" s="107"/>
      <c r="H44" s="109" t="str">
        <f t="shared" si="10"/>
        <v xml:space="preserve"> </v>
      </c>
      <c r="I44" s="110">
        <v>149.90699999999998</v>
      </c>
      <c r="J44" s="111"/>
      <c r="K44" s="109">
        <f t="shared" si="11"/>
        <v>149.90699999999998</v>
      </c>
      <c r="L44" s="110"/>
      <c r="M44" s="111">
        <v>177</v>
      </c>
      <c r="N44" s="111"/>
      <c r="O44" s="109">
        <f t="shared" si="12"/>
        <v>177</v>
      </c>
      <c r="P44" s="110">
        <v>208</v>
      </c>
      <c r="Q44" s="109">
        <f t="shared" si="13"/>
        <v>85.09615384615384</v>
      </c>
    </row>
    <row r="45" spans="1:17" ht="25.5" customHeight="1" x14ac:dyDescent="0.3">
      <c r="A45" s="99" t="s">
        <v>25</v>
      </c>
      <c r="B45" s="100">
        <v>11</v>
      </c>
      <c r="C45" s="112">
        <v>14.833299999999999</v>
      </c>
      <c r="D45" s="102">
        <v>10</v>
      </c>
      <c r="E45" s="100">
        <v>0</v>
      </c>
      <c r="F45" s="101">
        <v>0</v>
      </c>
      <c r="G45" s="101">
        <v>0</v>
      </c>
      <c r="H45" s="103" t="str">
        <f t="shared" si="10"/>
        <v xml:space="preserve"> </v>
      </c>
      <c r="I45" s="104">
        <v>174.25399999999999</v>
      </c>
      <c r="J45" s="105"/>
      <c r="K45" s="103">
        <f t="shared" si="11"/>
        <v>174.25399999999999</v>
      </c>
      <c r="L45" s="104"/>
      <c r="M45" s="105">
        <v>157</v>
      </c>
      <c r="N45" s="105"/>
      <c r="O45" s="103">
        <f t="shared" si="12"/>
        <v>157</v>
      </c>
      <c r="P45" s="104">
        <v>307</v>
      </c>
      <c r="Q45" s="103">
        <f t="shared" si="13"/>
        <v>51.140065146579808</v>
      </c>
    </row>
    <row r="46" spans="1:17" ht="25.5" customHeight="1" x14ac:dyDescent="0.3">
      <c r="A46" s="92" t="s">
        <v>26</v>
      </c>
      <c r="B46" s="106">
        <v>21</v>
      </c>
      <c r="C46" s="113">
        <v>32.082999999999998</v>
      </c>
      <c r="D46" s="108">
        <v>19</v>
      </c>
      <c r="E46" s="106">
        <v>0</v>
      </c>
      <c r="F46" s="107">
        <v>0</v>
      </c>
      <c r="G46" s="107">
        <v>0</v>
      </c>
      <c r="H46" s="109" t="str">
        <f t="shared" si="10"/>
        <v xml:space="preserve"> </v>
      </c>
      <c r="I46" s="110">
        <v>293.92</v>
      </c>
      <c r="J46" s="111">
        <v>0</v>
      </c>
      <c r="K46" s="109">
        <f t="shared" si="11"/>
        <v>293.92</v>
      </c>
      <c r="L46" s="110">
        <v>0</v>
      </c>
      <c r="M46" s="111">
        <v>256</v>
      </c>
      <c r="N46" s="111">
        <v>0</v>
      </c>
      <c r="O46" s="109">
        <f t="shared" si="12"/>
        <v>256</v>
      </c>
      <c r="P46" s="110">
        <v>510</v>
      </c>
      <c r="Q46" s="109">
        <f t="shared" si="13"/>
        <v>50.196078431372548</v>
      </c>
    </row>
    <row r="47" spans="1:17" ht="25.5" customHeight="1" x14ac:dyDescent="0.3">
      <c r="A47" s="99" t="s">
        <v>27</v>
      </c>
      <c r="B47" s="114">
        <v>22</v>
      </c>
      <c r="C47" s="115">
        <v>35.582999999999998</v>
      </c>
      <c r="D47" s="102">
        <v>26</v>
      </c>
      <c r="E47" s="114">
        <v>0</v>
      </c>
      <c r="F47" s="115"/>
      <c r="G47" s="115"/>
      <c r="H47" s="103" t="str">
        <f t="shared" si="10"/>
        <v xml:space="preserve"> </v>
      </c>
      <c r="I47" s="116">
        <v>462.38</v>
      </c>
      <c r="J47" s="117"/>
      <c r="K47" s="103">
        <f t="shared" si="11"/>
        <v>462.38</v>
      </c>
      <c r="L47" s="116"/>
      <c r="M47" s="117">
        <v>576</v>
      </c>
      <c r="N47" s="117"/>
      <c r="O47" s="103">
        <f t="shared" si="12"/>
        <v>576</v>
      </c>
      <c r="P47" s="116">
        <v>808</v>
      </c>
      <c r="Q47" s="103">
        <f t="shared" si="13"/>
        <v>71.287128712871279</v>
      </c>
    </row>
    <row r="48" spans="1:17" s="125" customFormat="1" ht="25.5" customHeight="1" x14ac:dyDescent="0.3">
      <c r="A48" s="118" t="s">
        <v>28</v>
      </c>
      <c r="B48" s="119">
        <v>49</v>
      </c>
      <c r="C48" s="120">
        <v>79.583333333333329</v>
      </c>
      <c r="D48" s="121">
        <v>53</v>
      </c>
      <c r="E48" s="119"/>
      <c r="F48" s="120"/>
      <c r="G48" s="120"/>
      <c r="H48" s="122" t="str">
        <f t="shared" si="10"/>
        <v xml:space="preserve"> </v>
      </c>
      <c r="I48" s="123">
        <v>877.25800000000015</v>
      </c>
      <c r="J48" s="124"/>
      <c r="K48" s="122">
        <f t="shared" si="11"/>
        <v>877.25800000000015</v>
      </c>
      <c r="L48" s="123"/>
      <c r="M48" s="124">
        <v>994</v>
      </c>
      <c r="N48" s="124"/>
      <c r="O48" s="122">
        <f t="shared" si="12"/>
        <v>994</v>
      </c>
      <c r="P48" s="123">
        <v>1456</v>
      </c>
      <c r="Q48" s="122">
        <f t="shared" si="13"/>
        <v>68.269230769230774</v>
      </c>
    </row>
    <row r="49" spans="1:17" ht="25.5" customHeight="1" x14ac:dyDescent="0.3">
      <c r="A49" s="99" t="s">
        <v>29</v>
      </c>
      <c r="B49" s="114">
        <v>29</v>
      </c>
      <c r="C49" s="115">
        <v>43.915999999999997</v>
      </c>
      <c r="D49" s="126">
        <v>30</v>
      </c>
      <c r="E49" s="114"/>
      <c r="F49" s="115"/>
      <c r="G49" s="115"/>
      <c r="H49" s="103" t="str">
        <f t="shared" si="10"/>
        <v xml:space="preserve"> </v>
      </c>
      <c r="I49" s="116">
        <v>489.755</v>
      </c>
      <c r="J49" s="117"/>
      <c r="K49" s="103">
        <f t="shared" si="11"/>
        <v>489.755</v>
      </c>
      <c r="L49" s="116"/>
      <c r="M49" s="117">
        <v>564</v>
      </c>
      <c r="N49" s="117"/>
      <c r="O49" s="103">
        <f t="shared" si="12"/>
        <v>564</v>
      </c>
      <c r="P49" s="116">
        <v>740</v>
      </c>
      <c r="Q49" s="103">
        <f t="shared" si="13"/>
        <v>76.21621621621621</v>
      </c>
    </row>
    <row r="50" spans="1:17" ht="25.5" customHeight="1" x14ac:dyDescent="0.3">
      <c r="A50" s="92" t="s">
        <v>30</v>
      </c>
      <c r="B50" s="127">
        <v>80</v>
      </c>
      <c r="C50" s="128">
        <v>116.25</v>
      </c>
      <c r="D50" s="129">
        <v>87</v>
      </c>
      <c r="E50" s="127"/>
      <c r="F50" s="128"/>
      <c r="G50" s="128"/>
      <c r="H50" s="109" t="str">
        <f t="shared" si="10"/>
        <v xml:space="preserve"> </v>
      </c>
      <c r="I50" s="130">
        <v>1400.1480000000001</v>
      </c>
      <c r="J50" s="131"/>
      <c r="K50" s="109">
        <f t="shared" si="11"/>
        <v>1400.1480000000001</v>
      </c>
      <c r="L50" s="130"/>
      <c r="M50" s="131">
        <v>1682</v>
      </c>
      <c r="N50" s="131"/>
      <c r="O50" s="109">
        <f t="shared" si="12"/>
        <v>1682</v>
      </c>
      <c r="P50" s="130">
        <v>2240</v>
      </c>
      <c r="Q50" s="109">
        <f t="shared" si="13"/>
        <v>75.089285714285708</v>
      </c>
    </row>
    <row r="51" spans="1:17" ht="25.5" customHeight="1" x14ac:dyDescent="0.3">
      <c r="A51" s="99" t="s">
        <v>31</v>
      </c>
      <c r="B51" s="114">
        <v>60</v>
      </c>
      <c r="C51" s="115">
        <v>85.25</v>
      </c>
      <c r="D51" s="126">
        <v>67</v>
      </c>
      <c r="E51" s="114"/>
      <c r="F51" s="115"/>
      <c r="G51" s="115"/>
      <c r="H51" s="103" t="str">
        <f t="shared" si="10"/>
        <v xml:space="preserve"> </v>
      </c>
      <c r="I51" s="116">
        <v>1007.684</v>
      </c>
      <c r="J51" s="117"/>
      <c r="K51" s="103">
        <f t="shared" si="11"/>
        <v>1007.684</v>
      </c>
      <c r="L51" s="116"/>
      <c r="M51" s="117">
        <v>1213</v>
      </c>
      <c r="N51" s="117"/>
      <c r="O51" s="103">
        <f t="shared" si="12"/>
        <v>1213</v>
      </c>
      <c r="P51" s="116">
        <v>1749</v>
      </c>
      <c r="Q51" s="103">
        <f t="shared" si="13"/>
        <v>69.353916523727847</v>
      </c>
    </row>
    <row r="52" spans="1:17" ht="25.5" customHeight="1" x14ac:dyDescent="0.3">
      <c r="A52" s="92" t="s">
        <v>32</v>
      </c>
      <c r="B52" s="127">
        <v>47</v>
      </c>
      <c r="C52" s="128">
        <v>94.016666666666666</v>
      </c>
      <c r="D52" s="129">
        <v>69</v>
      </c>
      <c r="E52" s="127">
        <v>0</v>
      </c>
      <c r="F52" s="128"/>
      <c r="G52" s="128"/>
      <c r="H52" s="109" t="str">
        <f t="shared" si="10"/>
        <v xml:space="preserve"> </v>
      </c>
      <c r="I52" s="130">
        <v>697.24799999999993</v>
      </c>
      <c r="J52" s="131"/>
      <c r="K52" s="109">
        <f t="shared" si="11"/>
        <v>697.24799999999993</v>
      </c>
      <c r="L52" s="130"/>
      <c r="M52" s="131">
        <v>1040</v>
      </c>
      <c r="N52" s="131"/>
      <c r="O52" s="109">
        <f t="shared" si="12"/>
        <v>1040</v>
      </c>
      <c r="P52" s="130">
        <v>2099</v>
      </c>
      <c r="Q52" s="109">
        <f t="shared" si="13"/>
        <v>49.547403525488328</v>
      </c>
    </row>
    <row r="53" spans="1:17" ht="25.5" customHeight="1" x14ac:dyDescent="0.3">
      <c r="A53" s="99" t="s">
        <v>33</v>
      </c>
      <c r="B53" s="132">
        <v>39</v>
      </c>
      <c r="C53" s="133">
        <v>72.165999999999997</v>
      </c>
      <c r="D53" s="134">
        <v>52.737000000000002</v>
      </c>
      <c r="E53" s="132"/>
      <c r="F53" s="133"/>
      <c r="G53" s="133"/>
      <c r="H53" s="135" t="str">
        <f t="shared" si="10"/>
        <v xml:space="preserve"> </v>
      </c>
      <c r="I53" s="136">
        <v>568.21699999999998</v>
      </c>
      <c r="J53" s="137"/>
      <c r="K53" s="135">
        <f t="shared" si="11"/>
        <v>568.21699999999998</v>
      </c>
      <c r="L53" s="136"/>
      <c r="M53" s="137">
        <v>763.39</v>
      </c>
      <c r="N53" s="137"/>
      <c r="O53" s="135">
        <f t="shared" si="12"/>
        <v>763.39</v>
      </c>
      <c r="P53" s="136">
        <v>1511.0219999999999</v>
      </c>
      <c r="Q53" s="135">
        <f t="shared" si="13"/>
        <v>50.521435161102879</v>
      </c>
    </row>
    <row r="54" spans="1:17" ht="25.5" customHeight="1" x14ac:dyDescent="0.3">
      <c r="A54" s="138" t="s">
        <v>34</v>
      </c>
      <c r="B54" s="139">
        <f t="shared" ref="B54:G54" si="14">SUM(B42:B53)</f>
        <v>414</v>
      </c>
      <c r="C54" s="139">
        <f t="shared" si="14"/>
        <v>672.59796666666671</v>
      </c>
      <c r="D54" s="139">
        <f t="shared" si="14"/>
        <v>474.73700000000002</v>
      </c>
      <c r="E54" s="139">
        <f t="shared" si="14"/>
        <v>0</v>
      </c>
      <c r="F54" s="139">
        <f t="shared" si="14"/>
        <v>0</v>
      </c>
      <c r="G54" s="139">
        <f t="shared" si="14"/>
        <v>0</v>
      </c>
      <c r="H54" s="140" t="str">
        <f t="shared" si="10"/>
        <v xml:space="preserve"> </v>
      </c>
      <c r="I54" s="140">
        <f>SUM(I42:I53)</f>
        <v>6814.1270000000004</v>
      </c>
      <c r="J54" s="140">
        <f>SUM(J42:J53)</f>
        <v>0</v>
      </c>
      <c r="K54" s="140">
        <f t="shared" si="11"/>
        <v>6814.1270000000004</v>
      </c>
      <c r="L54" s="140">
        <f>SUM(L42:L53)</f>
        <v>0</v>
      </c>
      <c r="M54" s="140">
        <f>SUM(M42:M53)</f>
        <v>8230.39</v>
      </c>
      <c r="N54" s="140">
        <f>SUM(N42:N53)</f>
        <v>0</v>
      </c>
      <c r="O54" s="140">
        <f t="shared" si="12"/>
        <v>8230.39</v>
      </c>
      <c r="P54" s="141">
        <f>SUM(P42:P53)</f>
        <v>12835.022000000001</v>
      </c>
      <c r="Q54" s="140">
        <f t="shared" si="13"/>
        <v>64.124471309827115</v>
      </c>
    </row>
    <row r="55" spans="1:17" ht="22.5" customHeight="1" x14ac:dyDescent="0.3">
      <c r="A55" s="42" t="s">
        <v>35</v>
      </c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</row>
    <row r="56" spans="1:17" ht="22.5" customHeight="1" x14ac:dyDescent="0.3">
      <c r="A56" s="44" t="s">
        <v>36</v>
      </c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</row>
    <row r="57" spans="1:17" ht="22.5" customHeight="1" x14ac:dyDescent="0.3">
      <c r="A57" s="44" t="s">
        <v>37</v>
      </c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</row>
    <row r="58" spans="1:17" ht="47.25" customHeight="1" x14ac:dyDescent="0.3">
      <c r="A58" s="142">
        <v>2024</v>
      </c>
      <c r="B58" s="142"/>
      <c r="C58" s="143" t="s">
        <v>40</v>
      </c>
      <c r="D58" s="143"/>
      <c r="E58" s="143"/>
      <c r="F58" s="143"/>
      <c r="G58" s="143"/>
      <c r="H58" s="143"/>
      <c r="I58" s="143"/>
      <c r="J58" s="143"/>
      <c r="K58" s="143"/>
      <c r="L58" s="143"/>
      <c r="M58" s="143"/>
      <c r="N58" s="143"/>
      <c r="O58" s="144" t="s">
        <v>1</v>
      </c>
      <c r="P58" s="144"/>
      <c r="Q58" s="144"/>
    </row>
    <row r="59" spans="1:17" ht="28.9" customHeight="1" x14ac:dyDescent="0.3">
      <c r="A59" s="145" t="s">
        <v>2</v>
      </c>
      <c r="B59" s="145" t="s">
        <v>3</v>
      </c>
      <c r="C59" s="145"/>
      <c r="D59" s="145"/>
      <c r="E59" s="146" t="s">
        <v>4</v>
      </c>
      <c r="F59" s="146" t="s">
        <v>5</v>
      </c>
      <c r="G59" s="146" t="s">
        <v>6</v>
      </c>
      <c r="H59" s="146" t="s">
        <v>7</v>
      </c>
      <c r="I59" s="145" t="s">
        <v>8</v>
      </c>
      <c r="J59" s="145"/>
      <c r="K59" s="145"/>
      <c r="L59" s="145" t="s">
        <v>9</v>
      </c>
      <c r="M59" s="145"/>
      <c r="N59" s="145"/>
      <c r="O59" s="145"/>
      <c r="P59" s="146" t="s">
        <v>10</v>
      </c>
      <c r="Q59" s="146" t="s">
        <v>11</v>
      </c>
    </row>
    <row r="60" spans="1:17" ht="164.25" customHeight="1" x14ac:dyDescent="0.3">
      <c r="A60" s="145"/>
      <c r="B60" s="147" t="s">
        <v>12</v>
      </c>
      <c r="C60" s="147" t="s">
        <v>13</v>
      </c>
      <c r="D60" s="147" t="s">
        <v>14</v>
      </c>
      <c r="E60" s="148"/>
      <c r="F60" s="148"/>
      <c r="G60" s="148"/>
      <c r="H60" s="148"/>
      <c r="I60" s="147" t="s">
        <v>15</v>
      </c>
      <c r="J60" s="149" t="s">
        <v>16</v>
      </c>
      <c r="K60" s="147" t="s">
        <v>17</v>
      </c>
      <c r="L60" s="147" t="s">
        <v>18</v>
      </c>
      <c r="M60" s="147" t="s">
        <v>19</v>
      </c>
      <c r="N60" s="147" t="s">
        <v>20</v>
      </c>
      <c r="O60" s="147" t="s">
        <v>21</v>
      </c>
      <c r="P60" s="148"/>
      <c r="Q60" s="148"/>
    </row>
    <row r="61" spans="1:17" ht="24.75" customHeight="1" x14ac:dyDescent="0.3">
      <c r="A61" s="150" t="s">
        <v>22</v>
      </c>
      <c r="B61" s="151"/>
      <c r="C61" s="152"/>
      <c r="D61" s="153"/>
      <c r="E61" s="151"/>
      <c r="F61" s="152"/>
      <c r="G61" s="152"/>
      <c r="H61" s="154" t="str">
        <f t="shared" ref="H61:H73" si="15">IFERROR(F61/G61*100," ")</f>
        <v xml:space="preserve"> </v>
      </c>
      <c r="I61" s="155"/>
      <c r="J61" s="156"/>
      <c r="K61" s="156" t="str">
        <f>IF(AND(ISBLANK(I61),ISBLANK(J61))=TRUE,"",I61+J61)</f>
        <v/>
      </c>
      <c r="L61" s="155"/>
      <c r="M61" s="156"/>
      <c r="N61" s="156"/>
      <c r="O61" s="157" t="str">
        <f>IF(AND(ISBLANK(L61),ISBLANK(M61),ISBLANK(N61))=TRUE,"",L61+M61+N61)</f>
        <v/>
      </c>
      <c r="P61" s="156"/>
      <c r="Q61" s="154" t="str">
        <f>IFERROR(O61/P61*100," ")</f>
        <v xml:space="preserve"> </v>
      </c>
    </row>
    <row r="62" spans="1:17" ht="24.75" customHeight="1" x14ac:dyDescent="0.3">
      <c r="A62" s="99" t="s">
        <v>23</v>
      </c>
      <c r="B62" s="114"/>
      <c r="C62" s="115"/>
      <c r="D62" s="126"/>
      <c r="E62" s="114"/>
      <c r="F62" s="115"/>
      <c r="G62" s="115"/>
      <c r="H62" s="158" t="str">
        <f t="shared" si="15"/>
        <v xml:space="preserve"> </v>
      </c>
      <c r="I62" s="116"/>
      <c r="J62" s="117"/>
      <c r="K62" s="117" t="str">
        <f t="shared" ref="K62:K73" si="16">IF(AND(ISBLANK(I62),ISBLANK(J62))=TRUE,"",I62+J62)</f>
        <v/>
      </c>
      <c r="L62" s="116"/>
      <c r="M62" s="117"/>
      <c r="N62" s="117"/>
      <c r="O62" s="103" t="str">
        <f t="shared" ref="O62:O73" si="17">IF(AND(ISBLANK(L62),ISBLANK(M62),ISBLANK(N62))=TRUE,"",L62+M62+N62)</f>
        <v/>
      </c>
      <c r="P62" s="117"/>
      <c r="Q62" s="158" t="str">
        <f t="shared" ref="Q62:Q73" si="18">IFERROR(O62/P62*100," ")</f>
        <v xml:space="preserve"> </v>
      </c>
    </row>
    <row r="63" spans="1:17" ht="24.75" customHeight="1" x14ac:dyDescent="0.3">
      <c r="A63" s="150" t="s">
        <v>24</v>
      </c>
      <c r="B63" s="159"/>
      <c r="C63" s="160"/>
      <c r="D63" s="161"/>
      <c r="E63" s="159"/>
      <c r="F63" s="160"/>
      <c r="G63" s="160"/>
      <c r="H63" s="162" t="str">
        <f t="shared" si="15"/>
        <v xml:space="preserve"> </v>
      </c>
      <c r="I63" s="163"/>
      <c r="J63" s="164"/>
      <c r="K63" s="164" t="str">
        <f t="shared" si="16"/>
        <v/>
      </c>
      <c r="L63" s="163"/>
      <c r="M63" s="164"/>
      <c r="N63" s="164"/>
      <c r="O63" s="165" t="str">
        <f t="shared" si="17"/>
        <v/>
      </c>
      <c r="P63" s="164"/>
      <c r="Q63" s="162" t="str">
        <f t="shared" si="18"/>
        <v xml:space="preserve"> </v>
      </c>
    </row>
    <row r="64" spans="1:17" ht="24.75" customHeight="1" x14ac:dyDescent="0.3">
      <c r="A64" s="99" t="s">
        <v>25</v>
      </c>
      <c r="B64" s="114">
        <v>2</v>
      </c>
      <c r="C64" s="115">
        <v>5.8333000000000004</v>
      </c>
      <c r="D64" s="126">
        <v>6</v>
      </c>
      <c r="E64" s="114">
        <v>0</v>
      </c>
      <c r="F64" s="115">
        <v>0</v>
      </c>
      <c r="G64" s="115">
        <v>0</v>
      </c>
      <c r="H64" s="158" t="str">
        <f t="shared" si="15"/>
        <v xml:space="preserve"> </v>
      </c>
      <c r="I64" s="116">
        <v>23.161999999999999</v>
      </c>
      <c r="J64" s="117"/>
      <c r="K64" s="117">
        <f t="shared" si="16"/>
        <v>23.161999999999999</v>
      </c>
      <c r="L64" s="116"/>
      <c r="M64" s="117">
        <v>65</v>
      </c>
      <c r="N64" s="117"/>
      <c r="O64" s="103">
        <f t="shared" si="17"/>
        <v>65</v>
      </c>
      <c r="P64" s="117">
        <v>167</v>
      </c>
      <c r="Q64" s="158">
        <f t="shared" si="18"/>
        <v>38.922155688622759</v>
      </c>
    </row>
    <row r="65" spans="1:17" ht="24.75" customHeight="1" x14ac:dyDescent="0.3">
      <c r="A65" s="150" t="s">
        <v>26</v>
      </c>
      <c r="B65" s="159">
        <v>8</v>
      </c>
      <c r="C65" s="160">
        <v>29.5</v>
      </c>
      <c r="D65" s="161">
        <v>23</v>
      </c>
      <c r="E65" s="159">
        <v>0</v>
      </c>
      <c r="F65" s="160">
        <v>0</v>
      </c>
      <c r="G65" s="160">
        <v>0</v>
      </c>
      <c r="H65" s="162" t="str">
        <f t="shared" si="15"/>
        <v xml:space="preserve"> </v>
      </c>
      <c r="I65" s="163">
        <v>113.68800000000002</v>
      </c>
      <c r="J65" s="164">
        <v>0</v>
      </c>
      <c r="K65" s="164">
        <f t="shared" si="16"/>
        <v>113.68800000000002</v>
      </c>
      <c r="L65" s="163">
        <v>0</v>
      </c>
      <c r="M65" s="164">
        <v>318</v>
      </c>
      <c r="N65" s="164">
        <v>0</v>
      </c>
      <c r="O65" s="165">
        <f t="shared" si="17"/>
        <v>318</v>
      </c>
      <c r="P65" s="164">
        <v>679</v>
      </c>
      <c r="Q65" s="162">
        <f t="shared" si="18"/>
        <v>46.833578792341676</v>
      </c>
    </row>
    <row r="66" spans="1:17" ht="24.75" customHeight="1" x14ac:dyDescent="0.3">
      <c r="A66" s="99" t="s">
        <v>27</v>
      </c>
      <c r="B66" s="114"/>
      <c r="C66" s="115"/>
      <c r="D66" s="126"/>
      <c r="E66" s="114"/>
      <c r="F66" s="115"/>
      <c r="G66" s="115"/>
      <c r="H66" s="158" t="str">
        <f t="shared" si="15"/>
        <v xml:space="preserve"> </v>
      </c>
      <c r="I66" s="116"/>
      <c r="J66" s="117"/>
      <c r="K66" s="117" t="str">
        <f t="shared" si="16"/>
        <v/>
      </c>
      <c r="L66" s="116"/>
      <c r="M66" s="117"/>
      <c r="N66" s="117"/>
      <c r="O66" s="103" t="str">
        <f t="shared" si="17"/>
        <v/>
      </c>
      <c r="P66" s="117"/>
      <c r="Q66" s="158" t="str">
        <f t="shared" si="18"/>
        <v xml:space="preserve"> </v>
      </c>
    </row>
    <row r="67" spans="1:17" ht="24.75" customHeight="1" x14ac:dyDescent="0.3">
      <c r="A67" s="150" t="s">
        <v>28</v>
      </c>
      <c r="B67" s="159"/>
      <c r="C67" s="160"/>
      <c r="D67" s="161"/>
      <c r="E67" s="159"/>
      <c r="F67" s="160"/>
      <c r="G67" s="160"/>
      <c r="H67" s="162" t="str">
        <f t="shared" si="15"/>
        <v xml:space="preserve"> </v>
      </c>
      <c r="I67" s="163"/>
      <c r="J67" s="164"/>
      <c r="K67" s="164" t="str">
        <f t="shared" si="16"/>
        <v/>
      </c>
      <c r="L67" s="163"/>
      <c r="M67" s="164"/>
      <c r="N67" s="164"/>
      <c r="O67" s="165" t="str">
        <f t="shared" si="17"/>
        <v/>
      </c>
      <c r="P67" s="164"/>
      <c r="Q67" s="162" t="str">
        <f t="shared" si="18"/>
        <v xml:space="preserve"> </v>
      </c>
    </row>
    <row r="68" spans="1:17" ht="24.75" customHeight="1" x14ac:dyDescent="0.3">
      <c r="A68" s="99" t="s">
        <v>29</v>
      </c>
      <c r="B68" s="114"/>
      <c r="C68" s="115"/>
      <c r="D68" s="126"/>
      <c r="E68" s="114"/>
      <c r="F68" s="115"/>
      <c r="G68" s="115"/>
      <c r="H68" s="158" t="str">
        <f t="shared" si="15"/>
        <v xml:space="preserve"> </v>
      </c>
      <c r="I68" s="116"/>
      <c r="J68" s="117"/>
      <c r="K68" s="117" t="str">
        <f t="shared" si="16"/>
        <v/>
      </c>
      <c r="L68" s="116"/>
      <c r="M68" s="117"/>
      <c r="N68" s="117"/>
      <c r="O68" s="103" t="str">
        <f t="shared" si="17"/>
        <v/>
      </c>
      <c r="P68" s="117"/>
      <c r="Q68" s="158" t="str">
        <f t="shared" si="18"/>
        <v xml:space="preserve"> </v>
      </c>
    </row>
    <row r="69" spans="1:17" ht="24.75" customHeight="1" x14ac:dyDescent="0.3">
      <c r="A69" s="150" t="s">
        <v>30</v>
      </c>
      <c r="B69" s="159"/>
      <c r="C69" s="160"/>
      <c r="D69" s="161"/>
      <c r="E69" s="159"/>
      <c r="F69" s="160"/>
      <c r="G69" s="160"/>
      <c r="H69" s="162" t="str">
        <f t="shared" si="15"/>
        <v xml:space="preserve"> </v>
      </c>
      <c r="I69" s="163"/>
      <c r="J69" s="164"/>
      <c r="K69" s="164" t="str">
        <f t="shared" si="16"/>
        <v/>
      </c>
      <c r="L69" s="163"/>
      <c r="M69" s="164"/>
      <c r="N69" s="164"/>
      <c r="O69" s="165" t="str">
        <f t="shared" si="17"/>
        <v/>
      </c>
      <c r="P69" s="164"/>
      <c r="Q69" s="162" t="str">
        <f t="shared" si="18"/>
        <v xml:space="preserve"> </v>
      </c>
    </row>
    <row r="70" spans="1:17" ht="24.75" customHeight="1" x14ac:dyDescent="0.3">
      <c r="A70" s="99" t="s">
        <v>31</v>
      </c>
      <c r="B70" s="114">
        <v>18</v>
      </c>
      <c r="C70" s="115">
        <v>62.666666666666664</v>
      </c>
      <c r="D70" s="126">
        <v>59</v>
      </c>
      <c r="E70" s="114"/>
      <c r="F70" s="115"/>
      <c r="G70" s="115"/>
      <c r="H70" s="158" t="str">
        <f t="shared" si="15"/>
        <v xml:space="preserve"> </v>
      </c>
      <c r="I70" s="116">
        <v>303.303</v>
      </c>
      <c r="J70" s="117"/>
      <c r="K70" s="117">
        <f t="shared" si="16"/>
        <v>303.303</v>
      </c>
      <c r="L70" s="116"/>
      <c r="M70" s="117">
        <v>1205</v>
      </c>
      <c r="N70" s="117"/>
      <c r="O70" s="103">
        <f t="shared" si="17"/>
        <v>1205</v>
      </c>
      <c r="P70" s="117">
        <v>1783</v>
      </c>
      <c r="Q70" s="158">
        <f t="shared" si="18"/>
        <v>67.582725743129558</v>
      </c>
    </row>
    <row r="71" spans="1:17" ht="24.75" customHeight="1" x14ac:dyDescent="0.3">
      <c r="A71" s="150" t="s">
        <v>32</v>
      </c>
      <c r="B71" s="159">
        <v>32</v>
      </c>
      <c r="C71" s="160">
        <v>139.06666666666666</v>
      </c>
      <c r="D71" s="161">
        <v>106</v>
      </c>
      <c r="E71" s="159">
        <v>0</v>
      </c>
      <c r="F71" s="160"/>
      <c r="G71" s="160"/>
      <c r="H71" s="162" t="str">
        <f t="shared" si="15"/>
        <v xml:space="preserve"> </v>
      </c>
      <c r="I71" s="163">
        <v>528.26099999999997</v>
      </c>
      <c r="J71" s="164"/>
      <c r="K71" s="164">
        <f t="shared" si="16"/>
        <v>528.26099999999997</v>
      </c>
      <c r="L71" s="163"/>
      <c r="M71" s="164">
        <v>1891</v>
      </c>
      <c r="N71" s="164"/>
      <c r="O71" s="165">
        <f t="shared" si="17"/>
        <v>1891</v>
      </c>
      <c r="P71" s="164">
        <v>3297</v>
      </c>
      <c r="Q71" s="162">
        <f t="shared" si="18"/>
        <v>57.355171367910216</v>
      </c>
    </row>
    <row r="72" spans="1:17" ht="24.75" customHeight="1" x14ac:dyDescent="0.3">
      <c r="A72" s="99" t="s">
        <v>33</v>
      </c>
      <c r="B72" s="132">
        <v>24</v>
      </c>
      <c r="C72" s="133">
        <v>97</v>
      </c>
      <c r="D72" s="134">
        <v>74.296000000000006</v>
      </c>
      <c r="E72" s="132"/>
      <c r="F72" s="133"/>
      <c r="G72" s="133"/>
      <c r="H72" s="135" t="str">
        <f t="shared" si="15"/>
        <v xml:space="preserve"> </v>
      </c>
      <c r="I72" s="136">
        <v>439.79700000000003</v>
      </c>
      <c r="J72" s="137"/>
      <c r="K72" s="137">
        <f t="shared" si="16"/>
        <v>439.79700000000003</v>
      </c>
      <c r="L72" s="136"/>
      <c r="M72" s="137">
        <v>1370.633</v>
      </c>
      <c r="N72" s="137"/>
      <c r="O72" s="135">
        <f t="shared" si="17"/>
        <v>1370.633</v>
      </c>
      <c r="P72" s="137">
        <v>2410.4749999999999</v>
      </c>
      <c r="Q72" s="135">
        <f t="shared" si="18"/>
        <v>56.861531440898581</v>
      </c>
    </row>
    <row r="73" spans="1:17" ht="24.75" customHeight="1" x14ac:dyDescent="0.3">
      <c r="A73" s="166" t="s">
        <v>34</v>
      </c>
      <c r="B73" s="167">
        <f t="shared" ref="B73:G73" si="19">SUM(B61:B72)</f>
        <v>84</v>
      </c>
      <c r="C73" s="167">
        <f t="shared" si="19"/>
        <v>334.06663333333336</v>
      </c>
      <c r="D73" s="167">
        <f t="shared" si="19"/>
        <v>268.29599999999999</v>
      </c>
      <c r="E73" s="167">
        <f t="shared" si="19"/>
        <v>0</v>
      </c>
      <c r="F73" s="167">
        <f t="shared" si="19"/>
        <v>0</v>
      </c>
      <c r="G73" s="167">
        <f t="shared" si="19"/>
        <v>0</v>
      </c>
      <c r="H73" s="168" t="str">
        <f t="shared" si="15"/>
        <v xml:space="preserve"> </v>
      </c>
      <c r="I73" s="169">
        <f>SUM(I61:I72)</f>
        <v>1408.211</v>
      </c>
      <c r="J73" s="169">
        <f>SUM(J61:J72)</f>
        <v>0</v>
      </c>
      <c r="K73" s="169">
        <f t="shared" si="16"/>
        <v>1408.211</v>
      </c>
      <c r="L73" s="169">
        <f>SUM(L61:L72)</f>
        <v>0</v>
      </c>
      <c r="M73" s="169">
        <f>SUM(M61:M72)</f>
        <v>4849.6329999999998</v>
      </c>
      <c r="N73" s="169">
        <f>SUM(N61:N72)</f>
        <v>0</v>
      </c>
      <c r="O73" s="169">
        <f t="shared" si="17"/>
        <v>4849.6329999999998</v>
      </c>
      <c r="P73" s="169">
        <f>SUM(P61:P72)</f>
        <v>8336.4750000000004</v>
      </c>
      <c r="Q73" s="168">
        <f t="shared" si="18"/>
        <v>58.173664528472756</v>
      </c>
    </row>
    <row r="74" spans="1:17" x14ac:dyDescent="0.3">
      <c r="A74" s="42" t="s">
        <v>35</v>
      </c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</row>
    <row r="75" spans="1:17" x14ac:dyDescent="0.3">
      <c r="A75" s="44" t="s">
        <v>36</v>
      </c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</row>
    <row r="76" spans="1:17" x14ac:dyDescent="0.3">
      <c r="A76" s="44" t="s">
        <v>37</v>
      </c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</row>
    <row r="79" spans="1:17" x14ac:dyDescent="0.3">
      <c r="H79" s="170"/>
      <c r="Q79" s="170"/>
    </row>
    <row r="81" spans="8:17" x14ac:dyDescent="0.3">
      <c r="H81" s="170"/>
      <c r="Q81" s="170"/>
    </row>
    <row r="83" spans="8:17" x14ac:dyDescent="0.3">
      <c r="H83" s="170"/>
      <c r="Q83" s="170"/>
    </row>
    <row r="85" spans="8:17" x14ac:dyDescent="0.3">
      <c r="H85" s="170"/>
      <c r="Q85" s="170"/>
    </row>
    <row r="87" spans="8:17" x14ac:dyDescent="0.3">
      <c r="H87" s="170"/>
      <c r="Q87" s="170"/>
    </row>
    <row r="89" spans="8:17" x14ac:dyDescent="0.3">
      <c r="H89" s="170"/>
      <c r="Q89" s="170"/>
    </row>
    <row r="91" spans="8:17" x14ac:dyDescent="0.3">
      <c r="H91" s="170"/>
      <c r="Q91" s="170"/>
    </row>
    <row r="93" spans="8:17" x14ac:dyDescent="0.3">
      <c r="H93" s="170"/>
      <c r="Q93" s="170"/>
    </row>
    <row r="95" spans="8:17" x14ac:dyDescent="0.3">
      <c r="H95" s="170"/>
      <c r="Q95" s="170"/>
    </row>
    <row r="96" spans="8:17" x14ac:dyDescent="0.3">
      <c r="H96" s="170"/>
      <c r="Q96" s="170"/>
    </row>
    <row r="97" spans="8:17" x14ac:dyDescent="0.3">
      <c r="H97" s="170"/>
      <c r="Q97" s="170"/>
    </row>
    <row r="98" spans="8:17" x14ac:dyDescent="0.3">
      <c r="H98" s="170"/>
      <c r="Q98" s="170"/>
    </row>
    <row r="99" spans="8:17" x14ac:dyDescent="0.3">
      <c r="H99" s="170"/>
      <c r="Q99" s="170"/>
    </row>
    <row r="100" spans="8:17" x14ac:dyDescent="0.3">
      <c r="H100" s="170"/>
      <c r="Q100" s="170"/>
    </row>
    <row r="101" spans="8:17" x14ac:dyDescent="0.3">
      <c r="H101" s="170"/>
      <c r="Q101" s="170"/>
    </row>
    <row r="121" spans="8:17" x14ac:dyDescent="0.3">
      <c r="H121" s="170"/>
      <c r="Q121" s="170"/>
    </row>
    <row r="124" spans="8:17" x14ac:dyDescent="0.3">
      <c r="H124" s="170"/>
      <c r="Q124" s="170"/>
    </row>
    <row r="126" spans="8:17" x14ac:dyDescent="0.3">
      <c r="H126" s="170"/>
      <c r="Q126" s="170"/>
    </row>
    <row r="128" spans="8:17" x14ac:dyDescent="0.3">
      <c r="H128" s="170"/>
      <c r="Q128" s="170"/>
    </row>
    <row r="130" spans="8:17" x14ac:dyDescent="0.3">
      <c r="H130" s="170"/>
      <c r="Q130" s="170"/>
    </row>
    <row r="132" spans="8:17" x14ac:dyDescent="0.3">
      <c r="H132" s="170"/>
      <c r="Q132" s="170"/>
    </row>
    <row r="134" spans="8:17" x14ac:dyDescent="0.3">
      <c r="H134" s="170"/>
      <c r="Q134" s="170"/>
    </row>
    <row r="136" spans="8:17" x14ac:dyDescent="0.3">
      <c r="H136" s="170"/>
      <c r="Q136" s="170"/>
    </row>
    <row r="138" spans="8:17" x14ac:dyDescent="0.3">
      <c r="H138" s="170"/>
      <c r="Q138" s="170"/>
    </row>
    <row r="140" spans="8:17" x14ac:dyDescent="0.3">
      <c r="H140" s="170"/>
      <c r="Q140" s="170"/>
    </row>
    <row r="141" spans="8:17" x14ac:dyDescent="0.3">
      <c r="Q141" s="170"/>
    </row>
    <row r="142" spans="8:17" x14ac:dyDescent="0.3">
      <c r="H142" s="170"/>
      <c r="Q142" s="170"/>
    </row>
    <row r="143" spans="8:17" x14ac:dyDescent="0.3">
      <c r="H143" s="170"/>
      <c r="Q143" s="170"/>
    </row>
    <row r="144" spans="8:17" x14ac:dyDescent="0.3">
      <c r="H144" s="170"/>
      <c r="Q144" s="170"/>
    </row>
    <row r="145" spans="8:17" x14ac:dyDescent="0.3">
      <c r="H145" s="170"/>
      <c r="Q145" s="170"/>
    </row>
    <row r="146" spans="8:17" x14ac:dyDescent="0.3">
      <c r="H146" s="170"/>
      <c r="Q146" s="170"/>
    </row>
    <row r="169" spans="8:17" x14ac:dyDescent="0.3">
      <c r="H169" s="170"/>
      <c r="Q169" s="170"/>
    </row>
    <row r="172" spans="8:17" x14ac:dyDescent="0.3">
      <c r="H172" s="170"/>
      <c r="Q172" s="170"/>
    </row>
    <row r="174" spans="8:17" x14ac:dyDescent="0.3">
      <c r="H174" s="170"/>
      <c r="Q174" s="170"/>
    </row>
    <row r="176" spans="8:17" x14ac:dyDescent="0.3">
      <c r="H176" s="170"/>
      <c r="Q176" s="170"/>
    </row>
    <row r="178" spans="8:17" x14ac:dyDescent="0.3">
      <c r="H178" s="170"/>
      <c r="Q178" s="170"/>
    </row>
    <row r="180" spans="8:17" x14ac:dyDescent="0.3">
      <c r="H180" s="170"/>
      <c r="Q180" s="170"/>
    </row>
    <row r="182" spans="8:17" x14ac:dyDescent="0.3">
      <c r="H182" s="170"/>
      <c r="Q182" s="170"/>
    </row>
    <row r="184" spans="8:17" x14ac:dyDescent="0.3">
      <c r="H184" s="170"/>
      <c r="Q184" s="170"/>
    </row>
    <row r="186" spans="8:17" x14ac:dyDescent="0.3">
      <c r="H186" s="170"/>
      <c r="Q186" s="170"/>
    </row>
    <row r="188" spans="8:17" x14ac:dyDescent="0.3">
      <c r="H188" s="170"/>
      <c r="Q188" s="170"/>
    </row>
    <row r="190" spans="8:17" x14ac:dyDescent="0.3">
      <c r="H190" s="170"/>
      <c r="Q190" s="170"/>
    </row>
    <row r="192" spans="8:17" x14ac:dyDescent="0.3">
      <c r="H192" s="170"/>
      <c r="Q192" s="170"/>
    </row>
    <row r="194" spans="8:17" x14ac:dyDescent="0.3">
      <c r="H194" s="170"/>
      <c r="Q194" s="170"/>
    </row>
    <row r="217" spans="8:17" x14ac:dyDescent="0.3">
      <c r="H217" s="170"/>
      <c r="Q217" s="170"/>
    </row>
    <row r="219" spans="8:17" x14ac:dyDescent="0.3">
      <c r="H219" s="170"/>
      <c r="Q219" s="170"/>
    </row>
    <row r="220" spans="8:17" x14ac:dyDescent="0.3">
      <c r="H220" s="170"/>
      <c r="Q220" s="170"/>
    </row>
    <row r="221" spans="8:17" x14ac:dyDescent="0.3">
      <c r="H221" s="170"/>
      <c r="Q221" s="170"/>
    </row>
    <row r="222" spans="8:17" x14ac:dyDescent="0.3">
      <c r="H222" s="170"/>
      <c r="Q222" s="170"/>
    </row>
    <row r="223" spans="8:17" x14ac:dyDescent="0.3">
      <c r="H223" s="170"/>
      <c r="Q223" s="170"/>
    </row>
    <row r="224" spans="8:17" x14ac:dyDescent="0.3">
      <c r="H224" s="170"/>
      <c r="Q224" s="170"/>
    </row>
    <row r="225" spans="8:17" x14ac:dyDescent="0.3">
      <c r="H225" s="170"/>
      <c r="Q225" s="170"/>
    </row>
    <row r="226" spans="8:17" x14ac:dyDescent="0.3">
      <c r="H226" s="170"/>
      <c r="Q226" s="170"/>
    </row>
    <row r="227" spans="8:17" x14ac:dyDescent="0.3">
      <c r="H227" s="170"/>
      <c r="Q227" s="170"/>
    </row>
    <row r="228" spans="8:17" x14ac:dyDescent="0.3">
      <c r="H228" s="170"/>
      <c r="Q228" s="170"/>
    </row>
    <row r="229" spans="8:17" x14ac:dyDescent="0.3">
      <c r="H229" s="170"/>
      <c r="Q229" s="170"/>
    </row>
    <row r="230" spans="8:17" x14ac:dyDescent="0.3">
      <c r="H230" s="170"/>
      <c r="Q230" s="170"/>
    </row>
    <row r="231" spans="8:17" x14ac:dyDescent="0.3">
      <c r="H231" s="170"/>
      <c r="Q231" s="170"/>
    </row>
    <row r="232" spans="8:17" x14ac:dyDescent="0.3">
      <c r="H232" s="170"/>
      <c r="Q232" s="170"/>
    </row>
    <row r="233" spans="8:17" x14ac:dyDescent="0.3">
      <c r="H233" s="170"/>
      <c r="Q233" s="170"/>
    </row>
    <row r="234" spans="8:17" x14ac:dyDescent="0.3">
      <c r="H234" s="170"/>
      <c r="Q234" s="170"/>
    </row>
    <row r="235" spans="8:17" x14ac:dyDescent="0.3">
      <c r="H235" s="170"/>
      <c r="Q235" s="170"/>
    </row>
    <row r="236" spans="8:17" x14ac:dyDescent="0.3">
      <c r="H236" s="170"/>
      <c r="Q236" s="170"/>
    </row>
    <row r="237" spans="8:17" x14ac:dyDescent="0.3">
      <c r="H237" s="170"/>
      <c r="Q237" s="170"/>
    </row>
    <row r="238" spans="8:17" x14ac:dyDescent="0.3">
      <c r="H238" s="170"/>
      <c r="Q238" s="170"/>
    </row>
    <row r="239" spans="8:17" x14ac:dyDescent="0.3">
      <c r="H239" s="170"/>
      <c r="Q239" s="170"/>
    </row>
    <row r="240" spans="8:17" x14ac:dyDescent="0.3">
      <c r="H240" s="170"/>
      <c r="Q240" s="170"/>
    </row>
    <row r="241" spans="8:17" x14ac:dyDescent="0.3">
      <c r="H241" s="170"/>
      <c r="Q241" s="170"/>
    </row>
    <row r="242" spans="8:17" x14ac:dyDescent="0.3">
      <c r="H242" s="170"/>
      <c r="Q242" s="170"/>
    </row>
    <row r="265" spans="8:17" x14ac:dyDescent="0.3">
      <c r="H265" s="170"/>
      <c r="Q265" s="170"/>
    </row>
    <row r="268" spans="8:17" x14ac:dyDescent="0.3">
      <c r="H268" s="170"/>
      <c r="Q268" s="170"/>
    </row>
    <row r="270" spans="8:17" x14ac:dyDescent="0.3">
      <c r="H270" s="170"/>
      <c r="Q270" s="170"/>
    </row>
    <row r="271" spans="8:17" x14ac:dyDescent="0.3">
      <c r="H271" s="170"/>
    </row>
    <row r="272" spans="8:17" x14ac:dyDescent="0.3">
      <c r="H272" s="170"/>
      <c r="Q272" s="170"/>
    </row>
    <row r="274" spans="8:17" x14ac:dyDescent="0.3">
      <c r="H274" s="170"/>
      <c r="Q274" s="170"/>
    </row>
    <row r="276" spans="8:17" x14ac:dyDescent="0.3">
      <c r="H276" s="170"/>
      <c r="Q276" s="170"/>
    </row>
    <row r="278" spans="8:17" x14ac:dyDescent="0.3">
      <c r="H278" s="170"/>
      <c r="Q278" s="170"/>
    </row>
    <row r="280" spans="8:17" x14ac:dyDescent="0.3">
      <c r="H280" s="170"/>
      <c r="Q280" s="170"/>
    </row>
    <row r="282" spans="8:17" x14ac:dyDescent="0.3">
      <c r="H282" s="170"/>
      <c r="Q282" s="170"/>
    </row>
    <row r="284" spans="8:17" x14ac:dyDescent="0.3">
      <c r="H284" s="170"/>
      <c r="Q284" s="170"/>
    </row>
    <row r="285" spans="8:17" x14ac:dyDescent="0.3">
      <c r="H285" s="170"/>
      <c r="Q285" s="170"/>
    </row>
    <row r="286" spans="8:17" x14ac:dyDescent="0.3">
      <c r="H286" s="170"/>
      <c r="Q286" s="170"/>
    </row>
    <row r="287" spans="8:17" x14ac:dyDescent="0.3">
      <c r="H287" s="170"/>
      <c r="Q287" s="170"/>
    </row>
    <row r="288" spans="8:17" x14ac:dyDescent="0.3">
      <c r="H288" s="170"/>
      <c r="Q288" s="170"/>
    </row>
    <row r="289" spans="8:17" x14ac:dyDescent="0.3">
      <c r="H289" s="170"/>
      <c r="Q289" s="170"/>
    </row>
    <row r="290" spans="8:17" x14ac:dyDescent="0.3">
      <c r="H290" s="170"/>
      <c r="Q290" s="170"/>
    </row>
    <row r="292" spans="8:17" x14ac:dyDescent="0.3">
      <c r="H292" s="170"/>
    </row>
    <row r="311" spans="8:17" x14ac:dyDescent="0.3">
      <c r="H311" s="170"/>
      <c r="Q311" s="170"/>
    </row>
    <row r="314" spans="8:17" x14ac:dyDescent="0.3">
      <c r="H314" s="170"/>
      <c r="Q314" s="170"/>
    </row>
    <row r="316" spans="8:17" x14ac:dyDescent="0.3">
      <c r="H316" s="170"/>
      <c r="Q316" s="170"/>
    </row>
    <row r="318" spans="8:17" x14ac:dyDescent="0.3">
      <c r="H318" s="170"/>
      <c r="Q318" s="170"/>
    </row>
    <row r="320" spans="8:17" x14ac:dyDescent="0.3">
      <c r="H320" s="170"/>
      <c r="Q320" s="170"/>
    </row>
    <row r="322" spans="8:17" x14ac:dyDescent="0.3">
      <c r="H322" s="170"/>
      <c r="Q322" s="170"/>
    </row>
    <row r="324" spans="8:17" x14ac:dyDescent="0.3">
      <c r="H324" s="170"/>
      <c r="Q324" s="170"/>
    </row>
    <row r="326" spans="8:17" x14ac:dyDescent="0.3">
      <c r="H326" s="170"/>
      <c r="Q326" s="170"/>
    </row>
    <row r="328" spans="8:17" x14ac:dyDescent="0.3">
      <c r="H328" s="170"/>
      <c r="Q328" s="170"/>
    </row>
    <row r="330" spans="8:17" x14ac:dyDescent="0.3">
      <c r="H330" s="170"/>
      <c r="Q330" s="170"/>
    </row>
    <row r="332" spans="8:17" x14ac:dyDescent="0.3">
      <c r="H332" s="170"/>
      <c r="Q332" s="170"/>
    </row>
    <row r="334" spans="8:17" x14ac:dyDescent="0.3">
      <c r="H334" s="170"/>
      <c r="Q334" s="170"/>
    </row>
    <row r="336" spans="8:17" x14ac:dyDescent="0.3">
      <c r="H336" s="170"/>
      <c r="Q336" s="170"/>
    </row>
    <row r="362" spans="8:17" x14ac:dyDescent="0.3">
      <c r="Q362" s="170"/>
    </row>
    <row r="364" spans="8:17" x14ac:dyDescent="0.3">
      <c r="H364" s="170"/>
      <c r="Q364" s="170"/>
    </row>
    <row r="366" spans="8:17" x14ac:dyDescent="0.3">
      <c r="H366" s="170"/>
    </row>
    <row r="368" spans="8:17" x14ac:dyDescent="0.3">
      <c r="H368" s="170"/>
      <c r="Q368" s="170"/>
    </row>
    <row r="396" spans="8:17" x14ac:dyDescent="0.3">
      <c r="H396" s="170"/>
    </row>
    <row r="398" spans="8:17" x14ac:dyDescent="0.3">
      <c r="Q398" s="170"/>
    </row>
    <row r="399" spans="8:17" x14ac:dyDescent="0.3">
      <c r="Q399" s="170"/>
    </row>
    <row r="400" spans="8:17" x14ac:dyDescent="0.3">
      <c r="Q400" s="170"/>
    </row>
    <row r="401" spans="8:17" x14ac:dyDescent="0.3">
      <c r="Q401" s="170"/>
    </row>
    <row r="402" spans="8:17" x14ac:dyDescent="0.3">
      <c r="H402" s="170"/>
      <c r="Q402" s="170"/>
    </row>
    <row r="404" spans="8:17" x14ac:dyDescent="0.3">
      <c r="H404" s="170"/>
      <c r="Q404" s="170"/>
    </row>
    <row r="407" spans="8:17" x14ac:dyDescent="0.3">
      <c r="Q407" s="170"/>
    </row>
    <row r="431" spans="8:17" x14ac:dyDescent="0.3">
      <c r="Q431" s="170"/>
    </row>
    <row r="432" spans="8:17" x14ac:dyDescent="0.3">
      <c r="H432" s="170"/>
      <c r="Q432" s="170"/>
    </row>
    <row r="433" spans="8:17" x14ac:dyDescent="0.3">
      <c r="H433" s="170"/>
      <c r="Q433" s="170"/>
    </row>
    <row r="434" spans="8:17" x14ac:dyDescent="0.3">
      <c r="H434" s="170"/>
      <c r="Q434" s="170"/>
    </row>
    <row r="435" spans="8:17" x14ac:dyDescent="0.3">
      <c r="H435" s="170"/>
      <c r="Q435" s="170"/>
    </row>
    <row r="436" spans="8:17" x14ac:dyDescent="0.3">
      <c r="H436" s="170"/>
      <c r="Q436" s="170"/>
    </row>
    <row r="437" spans="8:17" x14ac:dyDescent="0.3">
      <c r="H437" s="170"/>
      <c r="Q437" s="170"/>
    </row>
    <row r="439" spans="8:17" x14ac:dyDescent="0.3">
      <c r="H439" s="170"/>
      <c r="Q439" s="170"/>
    </row>
    <row r="493" spans="13:13" x14ac:dyDescent="0.3">
      <c r="M493" s="171"/>
    </row>
    <row r="494" spans="13:13" x14ac:dyDescent="0.3">
      <c r="M494" s="4" t="s">
        <v>41</v>
      </c>
    </row>
  </sheetData>
  <mergeCells count="64">
    <mergeCell ref="L59:O59"/>
    <mergeCell ref="P59:P60"/>
    <mergeCell ref="Q59:Q60"/>
    <mergeCell ref="A74:Q74"/>
    <mergeCell ref="A75:Q75"/>
    <mergeCell ref="A76:Q76"/>
    <mergeCell ref="A58:B58"/>
    <mergeCell ref="C58:N58"/>
    <mergeCell ref="O58:Q58"/>
    <mergeCell ref="A59:A60"/>
    <mergeCell ref="B59:D59"/>
    <mergeCell ref="E59:E60"/>
    <mergeCell ref="F59:F60"/>
    <mergeCell ref="G59:G60"/>
    <mergeCell ref="H59:H60"/>
    <mergeCell ref="I59:K59"/>
    <mergeCell ref="L40:O40"/>
    <mergeCell ref="P40:P41"/>
    <mergeCell ref="Q40:Q41"/>
    <mergeCell ref="A55:Q55"/>
    <mergeCell ref="A56:Q56"/>
    <mergeCell ref="A57:Q57"/>
    <mergeCell ref="A39:B39"/>
    <mergeCell ref="C39:N39"/>
    <mergeCell ref="O39:Q39"/>
    <mergeCell ref="A40:A41"/>
    <mergeCell ref="B40:D40"/>
    <mergeCell ref="E40:E41"/>
    <mergeCell ref="F40:F41"/>
    <mergeCell ref="G40:G41"/>
    <mergeCell ref="H40:H41"/>
    <mergeCell ref="I40:K40"/>
    <mergeCell ref="L21:O21"/>
    <mergeCell ref="P21:P22"/>
    <mergeCell ref="Q21:Q22"/>
    <mergeCell ref="A36:Q36"/>
    <mergeCell ref="A37:Q37"/>
    <mergeCell ref="A38:Q38"/>
    <mergeCell ref="A20:B20"/>
    <mergeCell ref="C20:N20"/>
    <mergeCell ref="O20:Q20"/>
    <mergeCell ref="A21:A22"/>
    <mergeCell ref="B21:D21"/>
    <mergeCell ref="E21:E22"/>
    <mergeCell ref="F21:F22"/>
    <mergeCell ref="G21:G22"/>
    <mergeCell ref="H21:H22"/>
    <mergeCell ref="I21:K21"/>
    <mergeCell ref="L2:O2"/>
    <mergeCell ref="P2:P3"/>
    <mergeCell ref="Q2:Q3"/>
    <mergeCell ref="A17:Q17"/>
    <mergeCell ref="A18:Q18"/>
    <mergeCell ref="A19:Q19"/>
    <mergeCell ref="A1:B1"/>
    <mergeCell ref="C1:N1"/>
    <mergeCell ref="O1:Q1"/>
    <mergeCell ref="A2:A3"/>
    <mergeCell ref="B2:D2"/>
    <mergeCell ref="E2:E3"/>
    <mergeCell ref="F2:F3"/>
    <mergeCell ref="G2:G3"/>
    <mergeCell ref="H2:H3"/>
    <mergeCell ref="I2:K2"/>
  </mergeCells>
  <printOptions gridLines="1"/>
  <pageMargins left="0.7" right="0.7" top="0.75" bottom="0.5" header="0.3" footer="0.3"/>
  <pageSetup scale="66" firstPageNumber="76" orientation="landscape" useFirstPageNumber="1" r:id="rId1"/>
  <headerFooter alignWithMargins="0"/>
  <rowBreaks count="3" manualBreakCount="3">
    <brk id="19" max="16" man="1"/>
    <brk id="38" max="16" man="1"/>
    <brk id="57" max="1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Monthly_Template</vt:lpstr>
      <vt:lpstr>Sheet1</vt:lpstr>
      <vt:lpstr>Monthly_Template!\x</vt:lpstr>
      <vt:lpstr>Monthly_Template!Print_Area</vt:lpstr>
      <vt:lpstr>Monthly_Template!Print_Area_MI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2025-01-16T12:30:50Z</dcterms:created>
  <dcterms:modified xsi:type="dcterms:W3CDTF">2025-01-16T12:32:21Z</dcterms:modified>
</cp:coreProperties>
</file>