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" i="2" l="1"/>
  <c r="K52" i="2" l="1"/>
  <c r="K51" i="2" l="1"/>
  <c r="K11" i="2" l="1"/>
  <c r="K45" i="2" l="1"/>
  <c r="O25" i="2" l="1"/>
  <c r="Q25" i="2" s="1"/>
  <c r="K25" i="2"/>
  <c r="H25" i="2"/>
  <c r="K43" i="2" l="1"/>
  <c r="O43" i="2" l="1"/>
  <c r="Q43" i="2" s="1"/>
  <c r="H43" i="2"/>
  <c r="O42" i="2"/>
  <c r="Q42" i="2" s="1"/>
  <c r="K42" i="2"/>
  <c r="H42" i="2"/>
  <c r="P73" i="2" l="1"/>
  <c r="N73" i="2"/>
  <c r="M73" i="2"/>
  <c r="L73" i="2"/>
  <c r="O73" i="2" s="1"/>
  <c r="J73" i="2"/>
  <c r="I73" i="2"/>
  <c r="K73" i="2" s="1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P54" i="2"/>
  <c r="N54" i="2"/>
  <c r="M54" i="2"/>
  <c r="L54" i="2"/>
  <c r="J54" i="2"/>
  <c r="I54" i="2"/>
  <c r="G54" i="2"/>
  <c r="F54" i="2"/>
  <c r="E54" i="2"/>
  <c r="D54" i="2"/>
  <c r="C54" i="2"/>
  <c r="B54" i="2"/>
  <c r="O53" i="2"/>
  <c r="Q53" i="2" s="1"/>
  <c r="H53" i="2"/>
  <c r="O52" i="2"/>
  <c r="Q52" i="2" s="1"/>
  <c r="H52" i="2"/>
  <c r="O51" i="2"/>
  <c r="Q51" i="2" s="1"/>
  <c r="H51" i="2"/>
  <c r="O50" i="2"/>
  <c r="Q50" i="2" s="1"/>
  <c r="H50" i="2"/>
  <c r="O49" i="2"/>
  <c r="Q49" i="2" s="1"/>
  <c r="H49" i="2"/>
  <c r="O48" i="2"/>
  <c r="Q48" i="2" s="1"/>
  <c r="H48" i="2"/>
  <c r="O47" i="2"/>
  <c r="Q47" i="2" s="1"/>
  <c r="H47" i="2"/>
  <c r="O46" i="2"/>
  <c r="Q46" i="2" s="1"/>
  <c r="H46" i="2"/>
  <c r="O45" i="2"/>
  <c r="Q45" i="2" s="1"/>
  <c r="H45" i="2"/>
  <c r="O44" i="2"/>
  <c r="Q44" i="2" s="1"/>
  <c r="H44" i="2"/>
  <c r="P35" i="2"/>
  <c r="N35" i="2"/>
  <c r="M35" i="2"/>
  <c r="L35" i="2"/>
  <c r="J35" i="2"/>
  <c r="I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4" i="2"/>
  <c r="Q24" i="2" s="1"/>
  <c r="K24" i="2"/>
  <c r="H24" i="2"/>
  <c r="P16" i="2"/>
  <c r="N16" i="2"/>
  <c r="M16" i="2"/>
  <c r="L16" i="2"/>
  <c r="J16" i="2"/>
  <c r="I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H54" i="2" l="1"/>
  <c r="K35" i="2"/>
  <c r="H35" i="2"/>
  <c r="O35" i="2"/>
  <c r="Q35" i="2" s="1"/>
  <c r="O54" i="2"/>
  <c r="Q54" i="2" s="1"/>
  <c r="K54" i="2"/>
  <c r="Q73" i="2"/>
  <c r="O16" i="2"/>
  <c r="Q16" i="2" s="1"/>
  <c r="K16" i="2"/>
  <c r="H16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<sst xmlns="http://schemas.openxmlformats.org/spreadsheetml/2006/main" count="153" uniqueCount="42">
  <si>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</si>
  <si>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AKASA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</si>
  <si>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</si>
  <si>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</si>
  <si>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</si>
  <si>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</si>
  <si>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</si>
  <si>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</si>
  <si>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</si>
  <si>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</si>
  <si>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</si>
  <si>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</si>
  <si>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</si>
  <si>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</si>
  <si>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</si>
  <si>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</si>
  <si>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</si>
  <si>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</si>
  <si>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</si>
  <si>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</si>
  <si>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</si>
  <si>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</si>
  <si>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</si>
  <si>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</si>
  <si>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</si>
  <si>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</si>
  <si>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</si>
  <si>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</si>
  <si>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</si>
  <si>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</si>
  <si>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</si>
  <si>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</si>
  <si>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</si>
  <si>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</si>
  <si>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</si>
  <si>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AKASA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</si>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</sst>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6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4" fontId="8" fillId="3" borderId="8" xfId="1" applyNumberFormat="1" applyFont="1" applyFill="1" applyBorder="1" applyAlignment="1" applyProtection="1">
      <alignment horizontal="center" vertical="center" wrapText="1"/>
    </xf>
    <xf numFmtId="4" fontId="21" fillId="11" borderId="10" xfId="1" applyNumberFormat="1" applyFont="1" applyFill="1" applyBorder="1" applyAlignment="1" applyProtection="1">
      <alignment horizontal="center" vertical="center" wrapText="1"/>
    </xf>
    <xf numFmtId="166" fontId="18" fillId="3" borderId="0" xfId="1" applyNumberFormat="1" applyFont="1" applyFill="1" applyBorder="1" applyAlignment="1" applyProtection="1">
      <alignment horizontal="center" vertical="center" wrapText="1"/>
    </xf>
    <xf numFmtId="166" fontId="18" fillId="3" borderId="9" xfId="1" applyNumberFormat="1" applyFont="1" applyFill="1" applyBorder="1" applyAlignment="1" applyProtection="1">
      <alignment horizontal="center" vertical="center" wrapText="1"/>
    </xf>
    <xf numFmtId="166" fontId="21" fillId="11" borderId="10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\RAW%20DATA\mukesh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4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AKASA AIR</v>
          </cell>
        </row>
        <row r="34">
          <cell r="AT34" t="str">
            <v>INDIAONE AIR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 codeName="Sheet12"/>
  <dimension ref="A1:Q494"/>
  <sheetViews>
    <sheetView showGridLines="0" tabSelected="1" view="pageBreakPreview" topLeftCell="A61" zoomScale="70" zoomScaleNormal="85" zoomScaleSheetLayoutView="70" workbookViewId="0">
      <selection activeCell="A53" sqref="A5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9">
        <v>2024</v>
      </c>
      <c r="B1" s="169"/>
      <c r="C1" s="170" t="s">
        <v>0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1" t="s">
        <v>1</v>
      </c>
      <c r="P1" s="171"/>
      <c r="Q1" s="171"/>
    </row>
    <row r="2" spans="1:17" ht="33" customHeight="1" x14ac:dyDescent="0.3">
      <c r="A2" s="172" t="s">
        <v>2</v>
      </c>
      <c r="B2" s="174" t="s">
        <v>3</v>
      </c>
      <c r="C2" s="174"/>
      <c r="D2" s="174"/>
      <c r="E2" s="175" t="s">
        <v>4</v>
      </c>
      <c r="F2" s="175" t="s">
        <v>5</v>
      </c>
      <c r="G2" s="175" t="s">
        <v>6</v>
      </c>
      <c r="H2" s="175" t="s">
        <v>7</v>
      </c>
      <c r="I2" s="174" t="s">
        <v>8</v>
      </c>
      <c r="J2" s="174"/>
      <c r="K2" s="174"/>
      <c r="L2" s="174" t="s">
        <v>9</v>
      </c>
      <c r="M2" s="174"/>
      <c r="N2" s="174"/>
      <c r="O2" s="174"/>
      <c r="P2" s="175" t="s">
        <v>10</v>
      </c>
      <c r="Q2" s="175" t="s">
        <v>11</v>
      </c>
    </row>
    <row r="3" spans="1:17" ht="155.25" customHeight="1" x14ac:dyDescent="0.3">
      <c r="A3" s="173"/>
      <c r="B3" s="2" t="s">
        <v>12</v>
      </c>
      <c r="C3" s="2" t="s">
        <v>13</v>
      </c>
      <c r="D3" s="2" t="s">
        <v>14</v>
      </c>
      <c r="E3" s="175"/>
      <c r="F3" s="175"/>
      <c r="G3" s="175"/>
      <c r="H3" s="175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75"/>
      <c r="Q3" s="175"/>
    </row>
    <row r="4" spans="1:17" ht="23.1" customHeight="1" x14ac:dyDescent="0.3">
      <c r="A4" s="4" t="s">
        <v>22</v>
      </c>
      <c r="B4" s="5">
        <v>3542</v>
      </c>
      <c r="C4" s="5">
        <v>7145.6833333333334</v>
      </c>
      <c r="D4" s="6">
        <v>3581.4720000000002</v>
      </c>
      <c r="E4" s="7">
        <v>595767</v>
      </c>
      <c r="F4" s="5">
        <v>610078.52599999995</v>
      </c>
      <c r="G4" s="5">
        <v>660333.04399999999</v>
      </c>
      <c r="H4" s="8">
        <f>IFERROR(F4/G4*100," ")</f>
        <v>92.389519431652118</v>
      </c>
      <c r="I4" s="9">
        <v>3616.4690599999999</v>
      </c>
      <c r="J4" s="10">
        <v>239.45639</v>
      </c>
      <c r="K4" s="8">
        <f>IF(AND(ISBLANK(I4),ISBLANK(J4))=TRUE,"",I4+J4)</f>
        <v>3855.9254499999997</v>
      </c>
      <c r="L4" s="9">
        <v>50592.485930000003</v>
      </c>
      <c r="M4" s="10">
        <v>3994.1098699999998</v>
      </c>
      <c r="N4" s="10">
        <v>259.06353000000001</v>
      </c>
      <c r="O4" s="8">
        <f>IF(AND(ISBLANK(L4),ISBLANK(M4),ISBLANK(N4))=TRUE,"",L4+M4+N4)</f>
        <v>54845.659330000002</v>
      </c>
      <c r="P4" s="10">
        <v>73441.664869999993</v>
      </c>
      <c r="Q4" s="8">
        <f>IFERROR(O4/P4*100," ")</f>
        <v>74.679215710976848</v>
      </c>
    </row>
    <row r="5" spans="1:17" ht="23.1" customHeight="1" x14ac:dyDescent="0.3">
      <c r="A5" s="11" t="s">
        <v>23</v>
      </c>
      <c r="B5" s="12">
        <v>3378</v>
      </c>
      <c r="C5" s="12">
        <v>6817.0333333333338</v>
      </c>
      <c r="D5" s="11">
        <v>3350.3150000000001</v>
      </c>
      <c r="E5" s="13">
        <v>567507</v>
      </c>
      <c r="F5" s="12">
        <v>570497.19400000002</v>
      </c>
      <c r="G5" s="12">
        <v>619665.66</v>
      </c>
      <c r="H5" s="14">
        <f t="shared" ref="H5:H16" si="0">IFERROR(F5/G5*100," ")</f>
        <v>92.065323419729268</v>
      </c>
      <c r="I5" s="15">
        <v>3561.7579000000001</v>
      </c>
      <c r="J5" s="16">
        <v>183.49597</v>
      </c>
      <c r="K5" s="14">
        <f t="shared" ref="K5:K16" si="1">IF(AND(ISBLANK(I5),ISBLANK(J5))=TRUE,"",I5+J5)</f>
        <v>3745.25387</v>
      </c>
      <c r="L5" s="15">
        <v>46719.657299999999</v>
      </c>
      <c r="M5" s="16">
        <v>3810.7638999999999</v>
      </c>
      <c r="N5" s="16">
        <v>205.67089999999999</v>
      </c>
      <c r="O5" s="14">
        <f t="shared" ref="O5:O16" si="2">IF(AND(ISBLANK(L5),ISBLANK(M5),ISBLANK(N5))=TRUE,"",L5+M5+N5)</f>
        <v>50736.092099999994</v>
      </c>
      <c r="P5" s="16">
        <v>68692.496299999999</v>
      </c>
      <c r="Q5" s="14">
        <f t="shared" ref="Q5:Q16" si="3">IFERROR(O5/P5*100," ")</f>
        <v>73.859729712574136</v>
      </c>
    </row>
    <row r="6" spans="1:17" ht="23.1" customHeight="1" x14ac:dyDescent="0.3">
      <c r="A6" s="17" t="s">
        <v>24</v>
      </c>
      <c r="B6" s="18">
        <v>3664</v>
      </c>
      <c r="C6" s="18">
        <v>7285.8166666666666</v>
      </c>
      <c r="D6" s="17">
        <v>3640.3490000000002</v>
      </c>
      <c r="E6" s="19">
        <v>590036</v>
      </c>
      <c r="F6" s="18">
        <v>597601.78300000005</v>
      </c>
      <c r="G6" s="18">
        <v>675453.28099999996</v>
      </c>
      <c r="H6" s="20">
        <f t="shared" si="0"/>
        <v>88.474184641646602</v>
      </c>
      <c r="I6" s="21">
        <v>3706.4856100000002</v>
      </c>
      <c r="J6" s="22">
        <v>168.31048999999999</v>
      </c>
      <c r="K6" s="20">
        <f t="shared" si="1"/>
        <v>3874.7961</v>
      </c>
      <c r="L6" s="21">
        <v>49269.564059999997</v>
      </c>
      <c r="M6" s="22">
        <v>3936.9992699999998</v>
      </c>
      <c r="N6" s="22">
        <v>193.94954000000001</v>
      </c>
      <c r="O6" s="20">
        <f t="shared" si="2"/>
        <v>53400.512869999999</v>
      </c>
      <c r="P6" s="22">
        <v>74648.99656</v>
      </c>
      <c r="Q6" s="20">
        <f t="shared" si="3"/>
        <v>71.535473121971194</v>
      </c>
    </row>
    <row r="7" spans="1:17" ht="23.1" customHeight="1" x14ac:dyDescent="0.3">
      <c r="A7" s="11" t="s">
        <v>25</v>
      </c>
      <c r="B7" s="12">
        <v>3605</v>
      </c>
      <c r="C7" s="12">
        <v>7333.1166599999997</v>
      </c>
      <c r="D7" s="11">
        <v>3695.3760000000002</v>
      </c>
      <c r="E7" s="13">
        <v>579539</v>
      </c>
      <c r="F7" s="12">
        <v>602156.91</v>
      </c>
      <c r="G7" s="12">
        <v>685224.005</v>
      </c>
      <c r="H7" s="14">
        <f t="shared" si="0"/>
        <v>87.877381061686549</v>
      </c>
      <c r="I7" s="15">
        <v>3352.6206400000001</v>
      </c>
      <c r="J7" s="16">
        <v>162.36268000000001</v>
      </c>
      <c r="K7" s="14">
        <f t="shared" si="1"/>
        <v>3514.9833200000003</v>
      </c>
      <c r="L7" s="15">
        <v>49462.444889999999</v>
      </c>
      <c r="M7" s="16">
        <v>3639.97244</v>
      </c>
      <c r="N7" s="16">
        <v>189.73401999999999</v>
      </c>
      <c r="O7" s="14">
        <f t="shared" si="2"/>
        <v>53292.15135</v>
      </c>
      <c r="P7" s="16">
        <v>75777.380279999998</v>
      </c>
      <c r="Q7" s="14">
        <f t="shared" si="3"/>
        <v>70.327254852415962</v>
      </c>
    </row>
    <row r="8" spans="1:17" s="23" customFormat="1" ht="30" customHeight="1" x14ac:dyDescent="0.25">
      <c r="A8" s="17" t="s">
        <v>26</v>
      </c>
      <c r="B8" s="18">
        <v>3937</v>
      </c>
      <c r="C8" s="22">
        <v>8266.5666666666675</v>
      </c>
      <c r="D8" s="17">
        <v>4222.1210000000001</v>
      </c>
      <c r="E8" s="19">
        <v>663762</v>
      </c>
      <c r="F8" s="18">
        <v>707955.32200000004</v>
      </c>
      <c r="G8" s="18">
        <v>783212.20700000005</v>
      </c>
      <c r="H8" s="20">
        <f t="shared" si="0"/>
        <v>90.39125229058132</v>
      </c>
      <c r="I8" s="21">
        <v>4590.3434399999996</v>
      </c>
      <c r="J8" s="22">
        <v>179.47937999999999</v>
      </c>
      <c r="K8" s="20">
        <f t="shared" si="1"/>
        <v>4769.8228199999994</v>
      </c>
      <c r="L8" s="21">
        <v>58010.93649</v>
      </c>
      <c r="M8" s="22">
        <v>5088.3803500000004</v>
      </c>
      <c r="N8" s="22">
        <v>215.82051000000001</v>
      </c>
      <c r="O8" s="20">
        <f t="shared" si="2"/>
        <v>63315.137349999997</v>
      </c>
      <c r="P8" s="22">
        <v>86578.813259999995</v>
      </c>
      <c r="Q8" s="20">
        <f t="shared" si="3"/>
        <v>73.130059151841039</v>
      </c>
    </row>
    <row r="9" spans="1:17" ht="23.1" customHeight="1" x14ac:dyDescent="0.3">
      <c r="A9" s="11" t="s">
        <v>27</v>
      </c>
      <c r="B9" s="12">
        <v>3845</v>
      </c>
      <c r="C9" s="12">
        <v>8148.1660000000002</v>
      </c>
      <c r="D9" s="11">
        <v>4148.7039999999997</v>
      </c>
      <c r="E9" s="13">
        <v>634429</v>
      </c>
      <c r="F9" s="12">
        <v>691510.16700000002</v>
      </c>
      <c r="G9" s="12">
        <v>771646.47699999996</v>
      </c>
      <c r="H9" s="14">
        <f t="shared" si="0"/>
        <v>89.614893297828161</v>
      </c>
      <c r="I9" s="15">
        <v>4548.5559800000001</v>
      </c>
      <c r="J9" s="16">
        <v>201.26604</v>
      </c>
      <c r="K9" s="14">
        <f t="shared" si="1"/>
        <v>4749.8220200000005</v>
      </c>
      <c r="L9" s="15">
        <v>56855.446279999996</v>
      </c>
      <c r="M9" s="16">
        <v>5028.20255</v>
      </c>
      <c r="N9" s="16">
        <v>231.24651</v>
      </c>
      <c r="O9" s="14">
        <f t="shared" si="2"/>
        <v>62114.895339999995</v>
      </c>
      <c r="P9" s="16">
        <v>85073.324210000006</v>
      </c>
      <c r="Q9" s="14">
        <f t="shared" si="3"/>
        <v>73.013363374248698</v>
      </c>
    </row>
    <row r="10" spans="1:17" ht="23.1" customHeight="1" x14ac:dyDescent="0.3">
      <c r="A10" s="17" t="s">
        <v>28</v>
      </c>
      <c r="B10" s="18">
        <v>3808</v>
      </c>
      <c r="C10" s="18">
        <v>8223.3166666666675</v>
      </c>
      <c r="D10" s="17">
        <v>4106.42</v>
      </c>
      <c r="E10" s="19">
        <v>604187</v>
      </c>
      <c r="F10" s="18">
        <v>659296.31900000002</v>
      </c>
      <c r="G10" s="18">
        <v>762840.90700000001</v>
      </c>
      <c r="H10" s="20">
        <f t="shared" si="0"/>
        <v>86.426450515454604</v>
      </c>
      <c r="I10" s="21">
        <v>4608.9377599999998</v>
      </c>
      <c r="J10" s="22">
        <v>231.84383</v>
      </c>
      <c r="K10" s="20">
        <f t="shared" si="1"/>
        <v>4840.7815899999996</v>
      </c>
      <c r="L10" s="21">
        <v>54304.148110000002</v>
      </c>
      <c r="M10" s="22">
        <v>5126.6118900000001</v>
      </c>
      <c r="N10" s="22">
        <v>268.23815000000002</v>
      </c>
      <c r="O10" s="20">
        <f t="shared" si="2"/>
        <v>59698.998149999999</v>
      </c>
      <c r="P10" s="22">
        <v>84206.248500000002</v>
      </c>
      <c r="Q10" s="20">
        <f t="shared" si="3"/>
        <v>70.896161761677334</v>
      </c>
    </row>
    <row r="11" spans="1:17" ht="23.1" customHeight="1" x14ac:dyDescent="0.3">
      <c r="A11" s="11" t="s">
        <v>29</v>
      </c>
      <c r="B11" s="12">
        <v>3718</v>
      </c>
      <c r="C11" s="12">
        <v>8112.66</v>
      </c>
      <c r="D11" s="11">
        <v>4098.9120000000003</v>
      </c>
      <c r="E11" s="13">
        <v>591857</v>
      </c>
      <c r="F11" s="12">
        <v>649724.38600000006</v>
      </c>
      <c r="G11" s="12">
        <v>759700.17599999998</v>
      </c>
      <c r="H11" s="14">
        <f t="shared" si="0"/>
        <v>85.523790374901807</v>
      </c>
      <c r="I11" s="15">
        <v>4312.2212900000004</v>
      </c>
      <c r="J11" s="16">
        <v>200.01308</v>
      </c>
      <c r="K11" s="14">
        <f t="shared" si="1"/>
        <v>4512.2343700000001</v>
      </c>
      <c r="L11" s="15">
        <v>53314.02749</v>
      </c>
      <c r="M11" s="16">
        <v>4908.9252100000003</v>
      </c>
      <c r="N11" s="16">
        <v>238.40854999999999</v>
      </c>
      <c r="O11" s="14">
        <f t="shared" si="2"/>
        <v>58461.361250000002</v>
      </c>
      <c r="P11" s="16">
        <v>84052.289470000003</v>
      </c>
      <c r="Q11" s="14">
        <f t="shared" si="3"/>
        <v>69.553561977471261</v>
      </c>
    </row>
    <row r="12" spans="1:17" ht="23.1" customHeight="1" x14ac:dyDescent="0.3">
      <c r="A12" s="17" t="s">
        <v>30</v>
      </c>
      <c r="B12" s="18">
        <v>3563</v>
      </c>
      <c r="C12" s="18">
        <v>7791.35</v>
      </c>
      <c r="D12" s="17">
        <v>3953.16</v>
      </c>
      <c r="E12" s="19">
        <v>572972</v>
      </c>
      <c r="F12" s="18">
        <v>634605.84400000004</v>
      </c>
      <c r="G12" s="18">
        <v>739072.55599999998</v>
      </c>
      <c r="H12" s="20">
        <f t="shared" si="0"/>
        <v>85.865161525494401</v>
      </c>
      <c r="I12" s="21">
        <v>4851.4433600000002</v>
      </c>
      <c r="J12" s="22">
        <v>192.07354000000001</v>
      </c>
      <c r="K12" s="20">
        <f t="shared" si="1"/>
        <v>5043.5169000000005</v>
      </c>
      <c r="L12" s="21">
        <v>52042.228479999998</v>
      </c>
      <c r="M12" s="22">
        <v>5537.13238</v>
      </c>
      <c r="N12" s="22">
        <v>240.49973</v>
      </c>
      <c r="O12" s="20">
        <f t="shared" si="2"/>
        <v>57819.860590000004</v>
      </c>
      <c r="P12" s="22">
        <v>81063.498970000001</v>
      </c>
      <c r="Q12" s="20">
        <f t="shared" si="3"/>
        <v>71.326628290987031</v>
      </c>
    </row>
    <row r="13" spans="1:17" ht="23.1" customHeight="1" x14ac:dyDescent="0.3">
      <c r="A13" s="11" t="s">
        <v>31</v>
      </c>
      <c r="B13" s="12">
        <v>3841</v>
      </c>
      <c r="C13" s="12">
        <v>8532.8166666666675</v>
      </c>
      <c r="D13" s="11">
        <v>4425.4660000000003</v>
      </c>
      <c r="E13" s="13">
        <v>615370</v>
      </c>
      <c r="F13" s="12">
        <v>714114.74699999997</v>
      </c>
      <c r="G13" s="12">
        <v>833484.79</v>
      </c>
      <c r="H13" s="14">
        <f t="shared" si="0"/>
        <v>85.678197798906439</v>
      </c>
      <c r="I13" s="15">
        <v>4820.5694100000001</v>
      </c>
      <c r="J13" s="16">
        <v>186.71485999999999</v>
      </c>
      <c r="K13" s="14">
        <f t="shared" si="1"/>
        <v>5007.2842700000001</v>
      </c>
      <c r="L13" s="15">
        <v>58986.099580000002</v>
      </c>
      <c r="M13" s="16">
        <v>5620.2864600000003</v>
      </c>
      <c r="N13" s="16">
        <v>230.45732000000001</v>
      </c>
      <c r="O13" s="14">
        <f t="shared" si="2"/>
        <v>64836.843360000006</v>
      </c>
      <c r="P13" s="16">
        <v>90748.605779999998</v>
      </c>
      <c r="Q13" s="14">
        <f t="shared" si="3"/>
        <v>71.446655078296899</v>
      </c>
    </row>
    <row r="14" spans="1:17" ht="23.1" customHeight="1" x14ac:dyDescent="0.3">
      <c r="A14" s="17" t="s">
        <v>32</v>
      </c>
      <c r="B14" s="18">
        <v>3881</v>
      </c>
      <c r="C14" s="18">
        <v>8730.9</v>
      </c>
      <c r="D14" s="17">
        <v>4601.8710000000001</v>
      </c>
      <c r="E14" s="19">
        <v>672121</v>
      </c>
      <c r="F14" s="18">
        <v>803209.65599999996</v>
      </c>
      <c r="G14" s="18">
        <v>867593.84900000005</v>
      </c>
      <c r="H14" s="20">
        <f t="shared" si="0"/>
        <v>92.578993837472439</v>
      </c>
      <c r="I14" s="21">
        <v>4011.94967</v>
      </c>
      <c r="J14" s="22">
        <v>190.39927</v>
      </c>
      <c r="K14" s="20">
        <f t="shared" si="1"/>
        <v>4202.3489399999999</v>
      </c>
      <c r="L14" s="21">
        <v>67043.115770000004</v>
      </c>
      <c r="M14" s="22">
        <v>4790.2677899999999</v>
      </c>
      <c r="N14" s="22">
        <v>243.8665</v>
      </c>
      <c r="O14" s="20">
        <f t="shared" si="2"/>
        <v>72077.250060000006</v>
      </c>
      <c r="P14" s="22">
        <v>94365.96673</v>
      </c>
      <c r="Q14" s="20">
        <f t="shared" si="3"/>
        <v>76.380555996662977</v>
      </c>
    </row>
    <row r="15" spans="1:17" ht="23.1" customHeight="1" x14ac:dyDescent="0.3">
      <c r="A15" s="24" t="s">
        <v>33</v>
      </c>
      <c r="B15" s="25">
        <v>3920</v>
      </c>
      <c r="C15" s="25">
        <v>8844.51</v>
      </c>
      <c r="D15" s="26">
        <v>4618.402</v>
      </c>
      <c r="E15" s="27">
        <v>686835</v>
      </c>
      <c r="F15" s="25">
        <v>811906.92200000002</v>
      </c>
      <c r="G15" s="25">
        <v>870198.05900000001</v>
      </c>
      <c r="H15" s="28">
        <f t="shared" si="0"/>
        <v>93.301394274886562</v>
      </c>
      <c r="I15" s="29">
        <v>4606.4815900000003</v>
      </c>
      <c r="J15" s="30">
        <v>269.43087000000003</v>
      </c>
      <c r="K15" s="28">
        <f t="shared" si="1"/>
        <v>4875.9124600000005</v>
      </c>
      <c r="L15" s="29">
        <v>67907.505229999995</v>
      </c>
      <c r="M15" s="30">
        <v>5336.5475800000004</v>
      </c>
      <c r="N15" s="30">
        <v>341.77728999999999</v>
      </c>
      <c r="O15" s="28">
        <f t="shared" si="2"/>
        <v>73585.830099999992</v>
      </c>
      <c r="P15" s="16">
        <v>94704.951390000002</v>
      </c>
      <c r="Q15" s="14">
        <f t="shared" si="3"/>
        <v>77.700087503312943</v>
      </c>
    </row>
    <row r="16" spans="1:17" ht="23.1" customHeight="1" x14ac:dyDescent="0.3">
      <c r="A16" s="31" t="s">
        <v>34</v>
      </c>
      <c r="B16" s="32">
        <f t="shared" ref="B16:G16" si="4">SUM(B4:B15)</f>
        <v>44702</v>
      </c>
      <c r="C16" s="32">
        <f t="shared" si="4"/>
        <v>95231.935993333318</v>
      </c>
      <c r="D16" s="32">
        <f t="shared" si="4"/>
        <v>48442.567999999999</v>
      </c>
      <c r="E16" s="32">
        <f t="shared" si="4"/>
        <v>7374382</v>
      </c>
      <c r="F16" s="32">
        <f t="shared" si="4"/>
        <v>8052657.7759999987</v>
      </c>
      <c r="G16" s="32">
        <f t="shared" si="4"/>
        <v>9028425.0109999999</v>
      </c>
      <c r="H16" s="33">
        <f t="shared" si="0"/>
        <v>89.192276240749052</v>
      </c>
      <c r="I16" s="33">
        <f>SUM(I4:I15)</f>
        <v>50587.835710000007</v>
      </c>
      <c r="J16" s="33">
        <f>SUM(J4:J15)</f>
        <v>2404.8464000000004</v>
      </c>
      <c r="K16" s="33">
        <f t="shared" si="1"/>
        <v>52992.682110000009</v>
      </c>
      <c r="L16" s="33">
        <f>SUM(L4:L15)</f>
        <v>664507.65960999997</v>
      </c>
      <c r="M16" s="33">
        <f>SUM(M4:M15)</f>
        <v>56818.199690000001</v>
      </c>
      <c r="N16" s="33">
        <f>SUM(N4:N15)</f>
        <v>2858.7325500000002</v>
      </c>
      <c r="O16" s="33">
        <f t="shared" si="2"/>
        <v>724184.59184999997</v>
      </c>
      <c r="P16" s="34">
        <f>SUM(P4:P15)</f>
        <v>993354.23631999991</v>
      </c>
      <c r="Q16" s="34">
        <f t="shared" si="3"/>
        <v>72.902954995473607</v>
      </c>
    </row>
    <row r="17" spans="1:17" ht="20.100000000000001" customHeight="1" x14ac:dyDescent="0.3">
      <c r="A17" s="154" t="s">
        <v>35</v>
      </c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</row>
    <row r="18" spans="1:17" s="35" customFormat="1" x14ac:dyDescent="0.25">
      <c r="A18" s="147" t="s">
        <v>36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</row>
    <row r="19" spans="1:17" s="35" customFormat="1" x14ac:dyDescent="0.25">
      <c r="A19" s="147" t="s">
        <v>37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</row>
    <row r="20" spans="1:17" ht="51.75" customHeight="1" x14ac:dyDescent="0.3">
      <c r="A20" s="162">
        <v>2024</v>
      </c>
      <c r="B20" s="162"/>
      <c r="C20" s="163" t="s">
        <v>38</v>
      </c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4" t="s">
        <v>1</v>
      </c>
      <c r="P20" s="164"/>
      <c r="Q20" s="165"/>
    </row>
    <row r="21" spans="1:17" ht="33" customHeight="1" x14ac:dyDescent="0.3">
      <c r="A21" s="166" t="s">
        <v>2</v>
      </c>
      <c r="B21" s="166" t="s">
        <v>3</v>
      </c>
      <c r="C21" s="166"/>
      <c r="D21" s="166"/>
      <c r="E21" s="167" t="s">
        <v>4</v>
      </c>
      <c r="F21" s="167" t="s">
        <v>5</v>
      </c>
      <c r="G21" s="167" t="s">
        <v>6</v>
      </c>
      <c r="H21" s="167" t="s">
        <v>7</v>
      </c>
      <c r="I21" s="166" t="s">
        <v>8</v>
      </c>
      <c r="J21" s="166"/>
      <c r="K21" s="166"/>
      <c r="L21" s="166" t="s">
        <v>9</v>
      </c>
      <c r="M21" s="166"/>
      <c r="N21" s="166"/>
      <c r="O21" s="166"/>
      <c r="P21" s="167" t="s">
        <v>10</v>
      </c>
      <c r="Q21" s="167" t="s">
        <v>11</v>
      </c>
    </row>
    <row r="22" spans="1:17" ht="150.75" customHeight="1" x14ac:dyDescent="0.3">
      <c r="A22" s="166"/>
      <c r="B22" s="36" t="s">
        <v>12</v>
      </c>
      <c r="C22" s="36" t="s">
        <v>13</v>
      </c>
      <c r="D22" s="36" t="s">
        <v>14</v>
      </c>
      <c r="E22" s="167"/>
      <c r="F22" s="167"/>
      <c r="G22" s="167"/>
      <c r="H22" s="167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8"/>
      <c r="Q22" s="168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/>
      <c r="I23" s="44"/>
      <c r="J23" s="44"/>
      <c r="K23" s="44"/>
      <c r="L23" s="45"/>
      <c r="M23" s="44"/>
      <c r="N23" s="44"/>
      <c r="O23" s="46"/>
      <c r="P23" s="45"/>
      <c r="Q23" s="46"/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ref="H24:H35" si="5">IFERROR(F24/G24*100," ")</f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>
        <v>6</v>
      </c>
      <c r="C25" s="39">
        <v>21.916666666666668</v>
      </c>
      <c r="D25" s="54">
        <v>13.77</v>
      </c>
      <c r="E25" s="53">
        <v>459</v>
      </c>
      <c r="F25" s="39">
        <v>1053.405</v>
      </c>
      <c r="G25" s="39">
        <v>2602.5300000000002</v>
      </c>
      <c r="H25" s="43">
        <f t="shared" ref="H25" si="9">IFERROR(F25/G25*100," ")</f>
        <v>40.476190476190474</v>
      </c>
      <c r="I25" s="55"/>
      <c r="J25" s="55"/>
      <c r="K25" s="55" t="str">
        <f>IF(AND(ISBLANK(I25),ISBLANK(J25))=TRUE,"",I25+J25)</f>
        <v/>
      </c>
      <c r="L25" s="56">
        <v>94.108779999999996</v>
      </c>
      <c r="M25" s="55">
        <v>0</v>
      </c>
      <c r="N25" s="55">
        <v>0</v>
      </c>
      <c r="O25" s="43">
        <f>IF(AND(ISBLANK(L25),ISBLANK(M25),ISBLANK(N25))=TRUE,"",L25+M25+N25)</f>
        <v>94.108779999999996</v>
      </c>
      <c r="P25" s="56">
        <v>282.36761999999999</v>
      </c>
      <c r="Q25" s="43">
        <f>IFERROR(O25/P25*100," ")</f>
        <v>33.328460253339252</v>
      </c>
    </row>
    <row r="26" spans="1:17" ht="23.1" customHeight="1" x14ac:dyDescent="0.3">
      <c r="A26" s="47" t="s">
        <v>25</v>
      </c>
      <c r="B26" s="48">
        <v>32</v>
      </c>
      <c r="C26" s="47">
        <v>114.18333</v>
      </c>
      <c r="D26" s="49">
        <v>73.44</v>
      </c>
      <c r="E26" s="48">
        <v>3688</v>
      </c>
      <c r="F26" s="47">
        <v>8463.9599999999991</v>
      </c>
      <c r="G26" s="47">
        <v>13880.16</v>
      </c>
      <c r="H26" s="50">
        <f t="shared" si="5"/>
        <v>60.978835978835974</v>
      </c>
      <c r="I26" s="51"/>
      <c r="J26" s="51"/>
      <c r="K26" s="51" t="str">
        <f t="shared" si="6"/>
        <v/>
      </c>
      <c r="L26" s="52">
        <v>773.44024999999999</v>
      </c>
      <c r="M26" s="51"/>
      <c r="N26" s="51"/>
      <c r="O26" s="50">
        <f t="shared" si="7"/>
        <v>773.44024999999999</v>
      </c>
      <c r="P26" s="52">
        <v>1505.96064</v>
      </c>
      <c r="Q26" s="50">
        <f t="shared" si="8"/>
        <v>51.358596596521934</v>
      </c>
    </row>
    <row r="27" spans="1:17" s="23" customFormat="1" ht="30" customHeight="1" x14ac:dyDescent="0.25">
      <c r="A27" s="39" t="s">
        <v>26</v>
      </c>
      <c r="B27" s="53">
        <v>36</v>
      </c>
      <c r="C27" s="55">
        <v>128.4</v>
      </c>
      <c r="D27" s="54">
        <v>82.62</v>
      </c>
      <c r="E27" s="53">
        <v>5093</v>
      </c>
      <c r="F27" s="39">
        <v>11688.434999999999</v>
      </c>
      <c r="G27" s="39">
        <v>15615.18</v>
      </c>
      <c r="H27" s="43">
        <f t="shared" si="5"/>
        <v>74.8530276308054</v>
      </c>
      <c r="I27" s="55">
        <v>17.989999999999998</v>
      </c>
      <c r="J27" s="55"/>
      <c r="K27" s="55">
        <f t="shared" si="6"/>
        <v>17.989999999999998</v>
      </c>
      <c r="L27" s="56">
        <v>1082.4252799999999</v>
      </c>
      <c r="M27" s="55">
        <v>41.287050000000001</v>
      </c>
      <c r="N27" s="55"/>
      <c r="O27" s="43">
        <f t="shared" si="7"/>
        <v>1123.7123299999998</v>
      </c>
      <c r="P27" s="56">
        <v>1694.2057199999999</v>
      </c>
      <c r="Q27" s="43">
        <f t="shared" si="8"/>
        <v>66.326793537209866</v>
      </c>
    </row>
    <row r="28" spans="1:17" ht="23.1" customHeight="1" x14ac:dyDescent="0.3">
      <c r="A28" s="47" t="s">
        <v>27</v>
      </c>
      <c r="B28" s="48">
        <v>72</v>
      </c>
      <c r="C28" s="47">
        <v>288.95</v>
      </c>
      <c r="D28" s="49">
        <v>186.864</v>
      </c>
      <c r="E28" s="48">
        <v>10284</v>
      </c>
      <c r="F28" s="47">
        <v>27056.383999999998</v>
      </c>
      <c r="G28" s="47">
        <v>35317.296000000002</v>
      </c>
      <c r="H28" s="50">
        <f t="shared" si="5"/>
        <v>76.609443712791588</v>
      </c>
      <c r="I28" s="51">
        <v>42.502000000000002</v>
      </c>
      <c r="J28" s="51"/>
      <c r="K28" s="51">
        <f t="shared" si="6"/>
        <v>42.502000000000002</v>
      </c>
      <c r="L28" s="52">
        <v>2608.2208099999998</v>
      </c>
      <c r="M28" s="51">
        <v>98.186120000000003</v>
      </c>
      <c r="N28" s="51"/>
      <c r="O28" s="50">
        <f t="shared" si="7"/>
        <v>2706.4069299999996</v>
      </c>
      <c r="P28" s="52">
        <v>3831.8331800000001</v>
      </c>
      <c r="Q28" s="50">
        <f t="shared" si="8"/>
        <v>70.629560392292433</v>
      </c>
    </row>
    <row r="29" spans="1:17" ht="23.1" customHeight="1" x14ac:dyDescent="0.3">
      <c r="A29" s="39" t="s">
        <v>28</v>
      </c>
      <c r="B29" s="53">
        <v>196</v>
      </c>
      <c r="C29" s="39">
        <v>845.05</v>
      </c>
      <c r="D29" s="54">
        <v>536.02599999999995</v>
      </c>
      <c r="E29" s="53">
        <v>26249</v>
      </c>
      <c r="F29" s="39">
        <v>72299.138999999996</v>
      </c>
      <c r="G29" s="39">
        <v>101007.23699999999</v>
      </c>
      <c r="H29" s="43">
        <f t="shared" si="5"/>
        <v>71.578177116160504</v>
      </c>
      <c r="I29" s="55">
        <v>50.07</v>
      </c>
      <c r="J29" s="55"/>
      <c r="K29" s="55">
        <f t="shared" si="6"/>
        <v>50.07</v>
      </c>
      <c r="L29" s="56">
        <v>6652.7901199999997</v>
      </c>
      <c r="M29" s="55">
        <v>119.13896</v>
      </c>
      <c r="N29" s="55"/>
      <c r="O29" s="43">
        <f t="shared" si="7"/>
        <v>6771.9290799999999</v>
      </c>
      <c r="P29" s="56">
        <v>10991.749159999999</v>
      </c>
      <c r="Q29" s="43">
        <f t="shared" si="8"/>
        <v>61.609203243499053</v>
      </c>
    </row>
    <row r="30" spans="1:17" ht="23.1" customHeight="1" x14ac:dyDescent="0.3">
      <c r="A30" s="47" t="s">
        <v>29</v>
      </c>
      <c r="B30" s="48">
        <v>302</v>
      </c>
      <c r="C30" s="47">
        <v>1331.33</v>
      </c>
      <c r="D30" s="49">
        <v>861.10400000000004</v>
      </c>
      <c r="E30" s="48">
        <v>40906</v>
      </c>
      <c r="F30" s="47">
        <v>121196.68399999999</v>
      </c>
      <c r="G30" s="47">
        <v>161598.13500000001</v>
      </c>
      <c r="H30" s="50">
        <f t="shared" si="5"/>
        <v>74.998813569228375</v>
      </c>
      <c r="I30" s="51">
        <v>60.258000000000003</v>
      </c>
      <c r="J30" s="51"/>
      <c r="K30" s="51">
        <f t="shared" si="6"/>
        <v>60.258000000000003</v>
      </c>
      <c r="L30" s="52">
        <v>11353.60232</v>
      </c>
      <c r="M30" s="51">
        <v>147.43594999999999</v>
      </c>
      <c r="N30" s="51"/>
      <c r="O30" s="50">
        <f t="shared" si="7"/>
        <v>11501.038269999999</v>
      </c>
      <c r="P30" s="52">
        <v>17657.798620000001</v>
      </c>
      <c r="Q30" s="50">
        <f t="shared" si="8"/>
        <v>65.132911058196214</v>
      </c>
    </row>
    <row r="31" spans="1:17" ht="23.1" customHeight="1" x14ac:dyDescent="0.3">
      <c r="A31" s="39" t="s">
        <v>30</v>
      </c>
      <c r="B31" s="53">
        <v>322</v>
      </c>
      <c r="C31" s="39">
        <v>1395.75</v>
      </c>
      <c r="D31" s="54">
        <v>906.726</v>
      </c>
      <c r="E31" s="53">
        <v>40124</v>
      </c>
      <c r="F31" s="39">
        <v>114746.98699999999</v>
      </c>
      <c r="G31" s="39">
        <v>170031.033</v>
      </c>
      <c r="H31" s="43">
        <f t="shared" si="5"/>
        <v>67.485908292987901</v>
      </c>
      <c r="I31" s="55">
        <v>99.957999999999998</v>
      </c>
      <c r="J31" s="55"/>
      <c r="K31" s="55">
        <f t="shared" si="6"/>
        <v>99.957999999999998</v>
      </c>
      <c r="L31" s="56">
        <v>10693.27376</v>
      </c>
      <c r="M31" s="55">
        <v>255.42285000000001</v>
      </c>
      <c r="N31" s="55"/>
      <c r="O31" s="43">
        <f t="shared" si="7"/>
        <v>10948.696610000001</v>
      </c>
      <c r="P31" s="56">
        <v>18593.323339999999</v>
      </c>
      <c r="Q31" s="43">
        <f t="shared" si="8"/>
        <v>58.885097676142507</v>
      </c>
    </row>
    <row r="32" spans="1:17" ht="23.1" customHeight="1" x14ac:dyDescent="0.3">
      <c r="A32" s="47" t="s">
        <v>31</v>
      </c>
      <c r="B32" s="48">
        <v>295</v>
      </c>
      <c r="C32" s="47">
        <v>1269.05</v>
      </c>
      <c r="D32" s="49">
        <v>808.72199999999998</v>
      </c>
      <c r="E32" s="48">
        <v>39515</v>
      </c>
      <c r="F32" s="47">
        <v>109301.666</v>
      </c>
      <c r="G32" s="47">
        <v>151331.37</v>
      </c>
      <c r="H32" s="50">
        <f t="shared" si="5"/>
        <v>72.226707522703322</v>
      </c>
      <c r="I32" s="51">
        <v>122.509</v>
      </c>
      <c r="J32" s="51"/>
      <c r="K32" s="51">
        <f t="shared" si="6"/>
        <v>122.509</v>
      </c>
      <c r="L32" s="52">
        <v>10160.893400000001</v>
      </c>
      <c r="M32" s="51">
        <v>313.30703</v>
      </c>
      <c r="N32" s="51"/>
      <c r="O32" s="50">
        <f t="shared" si="7"/>
        <v>10474.200430000001</v>
      </c>
      <c r="P32" s="52">
        <v>16583.653350000001</v>
      </c>
      <c r="Q32" s="50">
        <f t="shared" si="8"/>
        <v>63.159788792859693</v>
      </c>
    </row>
    <row r="33" spans="1:17" ht="23.1" customHeight="1" x14ac:dyDescent="0.3">
      <c r="A33" s="39" t="s">
        <v>32</v>
      </c>
      <c r="B33" s="53">
        <v>296</v>
      </c>
      <c r="C33" s="39">
        <v>1331.85</v>
      </c>
      <c r="D33" s="54">
        <v>843.54600000000005</v>
      </c>
      <c r="E33" s="53">
        <v>41311</v>
      </c>
      <c r="F33" s="39">
        <v>117342.992</v>
      </c>
      <c r="G33" s="39">
        <v>157832.073</v>
      </c>
      <c r="H33" s="43">
        <f t="shared" si="5"/>
        <v>74.346734329466742</v>
      </c>
      <c r="I33" s="55">
        <v>99.203999999999994</v>
      </c>
      <c r="J33" s="55"/>
      <c r="K33" s="55">
        <f t="shared" si="6"/>
        <v>99.203999999999994</v>
      </c>
      <c r="L33" s="56">
        <v>11020.39343</v>
      </c>
      <c r="M33" s="55">
        <v>252.97791000000001</v>
      </c>
      <c r="N33" s="55">
        <v>0</v>
      </c>
      <c r="O33" s="43">
        <f t="shared" si="7"/>
        <v>11273.37134</v>
      </c>
      <c r="P33" s="56">
        <v>17297.754260000002</v>
      </c>
      <c r="Q33" s="43">
        <f t="shared" si="8"/>
        <v>65.172456323240652</v>
      </c>
    </row>
    <row r="34" spans="1:17" ht="23.1" customHeight="1" x14ac:dyDescent="0.3">
      <c r="A34" s="47" t="s">
        <v>33</v>
      </c>
      <c r="B34" s="57">
        <v>299</v>
      </c>
      <c r="C34" s="58">
        <v>1350.22</v>
      </c>
      <c r="D34" s="59">
        <v>848.89700000000005</v>
      </c>
      <c r="E34" s="57">
        <v>47963</v>
      </c>
      <c r="F34" s="58">
        <v>136259.11799999999</v>
      </c>
      <c r="G34" s="58">
        <v>158848.14000000001</v>
      </c>
      <c r="H34" s="50">
        <f t="shared" si="5"/>
        <v>85.779485992092802</v>
      </c>
      <c r="I34" s="60">
        <v>107.289</v>
      </c>
      <c r="J34" s="60"/>
      <c r="K34" s="60">
        <f t="shared" si="6"/>
        <v>107.289</v>
      </c>
      <c r="L34" s="61">
        <v>12810.338309999999</v>
      </c>
      <c r="M34" s="60">
        <v>288.87786999999997</v>
      </c>
      <c r="N34" s="60"/>
      <c r="O34" s="62">
        <f t="shared" si="7"/>
        <v>13099.216179999999</v>
      </c>
      <c r="P34" s="61">
        <v>17407.48186</v>
      </c>
      <c r="Q34" s="62">
        <f t="shared" si="8"/>
        <v>75.250494502023287</v>
      </c>
    </row>
    <row r="35" spans="1:17" ht="23.1" customHeight="1" x14ac:dyDescent="0.3">
      <c r="A35" s="63" t="s">
        <v>34</v>
      </c>
      <c r="B35" s="64">
        <f t="shared" ref="B35:G35" si="10">SUM(B23:B34)</f>
        <v>1856</v>
      </c>
      <c r="C35" s="64">
        <f t="shared" si="10"/>
        <v>8076.6999966666672</v>
      </c>
      <c r="D35" s="64">
        <f t="shared" si="10"/>
        <v>5161.7150000000001</v>
      </c>
      <c r="E35" s="64">
        <f t="shared" si="10"/>
        <v>255592</v>
      </c>
      <c r="F35" s="64">
        <f t="shared" si="10"/>
        <v>719408.7699999999</v>
      </c>
      <c r="G35" s="64">
        <f t="shared" si="10"/>
        <v>968063.15399999998</v>
      </c>
      <c r="H35" s="65">
        <f t="shared" si="5"/>
        <v>74.314239419962462</v>
      </c>
      <c r="I35" s="66">
        <f>SUM(I23:I34)</f>
        <v>599.78000000000009</v>
      </c>
      <c r="J35" s="66">
        <f>SUM(J23:J34)</f>
        <v>0</v>
      </c>
      <c r="K35" s="66">
        <f t="shared" si="6"/>
        <v>599.78000000000009</v>
      </c>
      <c r="L35" s="66">
        <f>SUM(L23:L34)</f>
        <v>67249.486459999986</v>
      </c>
      <c r="M35" s="66">
        <f>SUM(M23:M34)</f>
        <v>1516.63374</v>
      </c>
      <c r="N35" s="66">
        <f>SUM(N23:N34)</f>
        <v>0</v>
      </c>
      <c r="O35" s="66">
        <f t="shared" si="7"/>
        <v>68766.12019999999</v>
      </c>
      <c r="P35" s="66">
        <f>SUM(P23:P34)</f>
        <v>105846.12775</v>
      </c>
      <c r="Q35" s="66">
        <f t="shared" si="8"/>
        <v>64.96800748575329</v>
      </c>
    </row>
    <row r="36" spans="1:17" x14ac:dyDescent="0.3">
      <c r="A36" s="154" t="s">
        <v>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</row>
    <row r="37" spans="1:17" x14ac:dyDescent="0.3">
      <c r="A37" s="147" t="s">
        <v>36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</row>
    <row r="38" spans="1:17" x14ac:dyDescent="0.3">
      <c r="A38" s="147" t="s">
        <v>37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</row>
    <row r="39" spans="1:17" ht="40.5" customHeight="1" x14ac:dyDescent="0.3">
      <c r="A39" s="156">
        <v>2024</v>
      </c>
      <c r="B39" s="156"/>
      <c r="C39" s="157" t="s">
        <v>39</v>
      </c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8" t="s">
        <v>1</v>
      </c>
      <c r="P39" s="158"/>
      <c r="Q39" s="158"/>
    </row>
    <row r="40" spans="1:17" ht="28.9" customHeight="1" x14ac:dyDescent="0.3">
      <c r="A40" s="159" t="s">
        <v>2</v>
      </c>
      <c r="B40" s="159" t="s">
        <v>3</v>
      </c>
      <c r="C40" s="159"/>
      <c r="D40" s="159"/>
      <c r="E40" s="160" t="s">
        <v>4</v>
      </c>
      <c r="F40" s="160" t="s">
        <v>5</v>
      </c>
      <c r="G40" s="160" t="s">
        <v>6</v>
      </c>
      <c r="H40" s="160" t="s">
        <v>7</v>
      </c>
      <c r="I40" s="159" t="s">
        <v>8</v>
      </c>
      <c r="J40" s="159"/>
      <c r="K40" s="159"/>
      <c r="L40" s="159" t="s">
        <v>9</v>
      </c>
      <c r="M40" s="159"/>
      <c r="N40" s="159"/>
      <c r="O40" s="159"/>
      <c r="P40" s="160" t="s">
        <v>10</v>
      </c>
      <c r="Q40" s="160" t="s">
        <v>11</v>
      </c>
    </row>
    <row r="41" spans="1:17" ht="178.5" customHeight="1" x14ac:dyDescent="0.3">
      <c r="A41" s="159"/>
      <c r="B41" s="67" t="s">
        <v>12</v>
      </c>
      <c r="C41" s="67" t="s">
        <v>13</v>
      </c>
      <c r="D41" s="67" t="s">
        <v>14</v>
      </c>
      <c r="E41" s="161"/>
      <c r="F41" s="161"/>
      <c r="G41" s="161"/>
      <c r="H41" s="161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1"/>
      <c r="Q41" s="161"/>
    </row>
    <row r="42" spans="1:17" ht="25.5" customHeight="1" x14ac:dyDescent="0.3">
      <c r="A42" s="69" t="s">
        <v>22</v>
      </c>
      <c r="B42" s="70">
        <v>7</v>
      </c>
      <c r="C42" s="71">
        <v>12.183333333333334</v>
      </c>
      <c r="D42" s="72">
        <v>5.4390000000000001</v>
      </c>
      <c r="E42" s="70">
        <v>1046</v>
      </c>
      <c r="F42" s="71">
        <v>782.47400000000005</v>
      </c>
      <c r="G42" s="71">
        <v>994.95600000000002</v>
      </c>
      <c r="H42" s="73">
        <f t="shared" ref="H42:H43" si="11">IFERROR(F42/G42*100," ")</f>
        <v>78.644080743269058</v>
      </c>
      <c r="I42" s="74">
        <v>0.86799999999999999</v>
      </c>
      <c r="J42" s="75"/>
      <c r="K42" s="73">
        <f>IF(AND(ISBLANK(I42),ISBLANK(J42))=TRUE,"",I42+J42)</f>
        <v>0.86799999999999999</v>
      </c>
      <c r="L42" s="74">
        <v>66.409980000000004</v>
      </c>
      <c r="M42" s="75">
        <v>0.92267999999999994</v>
      </c>
      <c r="N42" s="75"/>
      <c r="O42" s="73">
        <f>IF(AND(ISBLANK(L42),ISBLANK(M42),ISBLANK(N42))=TRUE,"",L42+M42+N42)</f>
        <v>67.332660000000004</v>
      </c>
      <c r="P42" s="74">
        <v>111.53214</v>
      </c>
      <c r="Q42" s="73">
        <f>IFERROR(O42/P42*100," ")</f>
        <v>60.370633971517094</v>
      </c>
    </row>
    <row r="43" spans="1:17" ht="25.5" customHeight="1" x14ac:dyDescent="0.3">
      <c r="A43" s="76" t="s">
        <v>23</v>
      </c>
      <c r="B43" s="77">
        <v>1</v>
      </c>
      <c r="C43" s="78">
        <v>1.4166666666666667</v>
      </c>
      <c r="D43" s="79">
        <v>0.44400000000000001</v>
      </c>
      <c r="E43" s="77">
        <v>139</v>
      </c>
      <c r="F43" s="78">
        <v>61.716000000000001</v>
      </c>
      <c r="G43" s="78">
        <v>77.256</v>
      </c>
      <c r="H43" s="80">
        <f t="shared" si="11"/>
        <v>79.885057471264361</v>
      </c>
      <c r="I43" s="145">
        <v>4.1200000000000001E-2</v>
      </c>
      <c r="J43" s="144">
        <v>3.6499999999999998E-2</v>
      </c>
      <c r="K43" s="142">
        <f>IF(AND(ISBLANK(I43),ISBLANK(J43))=TRUE,"",I43+J43)</f>
        <v>7.7699999999999991E-2</v>
      </c>
      <c r="L43" s="81">
        <v>4.73881</v>
      </c>
      <c r="M43" s="89">
        <v>1.8290000000000001E-2</v>
      </c>
      <c r="N43" s="144">
        <v>1.6209999999999999E-2</v>
      </c>
      <c r="O43" s="80">
        <f t="shared" ref="O43" si="12">IF(AND(ISBLANK(L43),ISBLANK(M43),ISBLANK(N43))=TRUE,"",L43+M43+N43)</f>
        <v>4.7733100000000004</v>
      </c>
      <c r="P43" s="81">
        <v>9.1046600000000009</v>
      </c>
      <c r="Q43" s="80">
        <f t="shared" ref="Q43" si="13">IFERROR(O43/P43*100," ")</f>
        <v>52.427108755296736</v>
      </c>
    </row>
    <row r="44" spans="1:17" ht="25.5" customHeight="1" x14ac:dyDescent="0.3">
      <c r="A44" s="69" t="s">
        <v>24</v>
      </c>
      <c r="B44" s="83">
        <v>2</v>
      </c>
      <c r="C44" s="84">
        <v>4.416666666666667</v>
      </c>
      <c r="D44" s="85">
        <v>2.4289999999999998</v>
      </c>
      <c r="E44" s="83">
        <v>162</v>
      </c>
      <c r="F44" s="84">
        <v>186.20500000000001</v>
      </c>
      <c r="G44" s="84">
        <v>459.08100000000002</v>
      </c>
      <c r="H44" s="86">
        <f t="shared" ref="H44:H54" si="14">IFERROR(F44/G44*100," ")</f>
        <v>40.560380412171277</v>
      </c>
      <c r="I44" s="87"/>
      <c r="J44" s="88"/>
      <c r="K44" s="86"/>
      <c r="L44" s="87">
        <v>19.184370000000001</v>
      </c>
      <c r="M44" s="88">
        <v>0</v>
      </c>
      <c r="N44" s="88">
        <v>0</v>
      </c>
      <c r="O44" s="86">
        <f t="shared" ref="O44:O54" si="15">IF(AND(ISBLANK(L44),ISBLANK(M44),ISBLANK(N44))=TRUE,"",L44+M44+N44)</f>
        <v>19.184370000000001</v>
      </c>
      <c r="P44" s="87">
        <v>49.809069999999998</v>
      </c>
      <c r="Q44" s="86">
        <f t="shared" ref="Q44:Q54" si="16">IFERROR(O44/P44*100," ")</f>
        <v>38.515816496874969</v>
      </c>
    </row>
    <row r="45" spans="1:17" ht="25.5" customHeight="1" x14ac:dyDescent="0.3">
      <c r="A45" s="76" t="s">
        <v>25</v>
      </c>
      <c r="B45" s="77">
        <v>3</v>
      </c>
      <c r="C45" s="78">
        <v>5.2332999999999998</v>
      </c>
      <c r="D45" s="79">
        <v>2.6989999999999998</v>
      </c>
      <c r="E45" s="77">
        <v>425</v>
      </c>
      <c r="F45" s="78">
        <v>372.39499999999998</v>
      </c>
      <c r="G45" s="78">
        <v>510.11099999999999</v>
      </c>
      <c r="H45" s="80">
        <f t="shared" si="14"/>
        <v>73.00273861963376</v>
      </c>
      <c r="I45" s="81">
        <v>2.21211</v>
      </c>
      <c r="J45" s="144">
        <v>1.77E-2</v>
      </c>
      <c r="K45" s="80">
        <f>IF(AND(ISBLANK(I45),ISBLANK(J45))=TRUE,"",I45+J45)</f>
        <v>2.2298100000000001</v>
      </c>
      <c r="L45" s="81">
        <v>31.609950000000001</v>
      </c>
      <c r="M45" s="82">
        <v>2.3514699999999999</v>
      </c>
      <c r="N45" s="82">
        <v>1.882E-2</v>
      </c>
      <c r="O45" s="80">
        <f t="shared" si="15"/>
        <v>33.980240000000002</v>
      </c>
      <c r="P45" s="81">
        <v>55.345700000000001</v>
      </c>
      <c r="Q45" s="80">
        <f t="shared" si="16"/>
        <v>61.39635057466073</v>
      </c>
    </row>
    <row r="46" spans="1:17" ht="25.5" customHeight="1" x14ac:dyDescent="0.3">
      <c r="A46" s="69" t="s">
        <v>26</v>
      </c>
      <c r="B46" s="83">
        <v>5</v>
      </c>
      <c r="C46" s="84">
        <v>13.116666666666667</v>
      </c>
      <c r="D46" s="85">
        <v>5.4210000000000003</v>
      </c>
      <c r="E46" s="83">
        <v>363</v>
      </c>
      <c r="F46" s="84">
        <v>401.43099999999998</v>
      </c>
      <c r="G46" s="84">
        <v>1040.1130000000001</v>
      </c>
      <c r="H46" s="86">
        <f t="shared" si="14"/>
        <v>38.594941126589127</v>
      </c>
      <c r="I46" s="87"/>
      <c r="J46" s="88"/>
      <c r="K46" s="86"/>
      <c r="L46" s="87">
        <v>38.867049999999999</v>
      </c>
      <c r="M46" s="88"/>
      <c r="N46" s="88"/>
      <c r="O46" s="86">
        <f t="shared" si="15"/>
        <v>38.867049999999999</v>
      </c>
      <c r="P46" s="87">
        <v>111.16303000000001</v>
      </c>
      <c r="Q46" s="86">
        <f t="shared" si="16"/>
        <v>34.964007368277024</v>
      </c>
    </row>
    <row r="47" spans="1:17" ht="25.5" customHeight="1" x14ac:dyDescent="0.3">
      <c r="A47" s="76" t="s">
        <v>27</v>
      </c>
      <c r="B47" s="90"/>
      <c r="C47" s="91"/>
      <c r="D47" s="79"/>
      <c r="E47" s="90"/>
      <c r="F47" s="91"/>
      <c r="G47" s="91"/>
      <c r="H47" s="80" t="str">
        <f t="shared" si="14"/>
        <v xml:space="preserve"> </v>
      </c>
      <c r="I47" s="92"/>
      <c r="J47" s="93"/>
      <c r="K47" s="80"/>
      <c r="L47" s="92"/>
      <c r="M47" s="93"/>
      <c r="N47" s="93"/>
      <c r="O47" s="80" t="str">
        <f t="shared" si="15"/>
        <v/>
      </c>
      <c r="P47" s="92"/>
      <c r="Q47" s="80" t="str">
        <f t="shared" si="16"/>
        <v xml:space="preserve"> </v>
      </c>
    </row>
    <row r="48" spans="1:17" s="101" customFormat="1" ht="25.5" customHeight="1" x14ac:dyDescent="0.3">
      <c r="A48" s="94" t="s">
        <v>28</v>
      </c>
      <c r="B48" s="95">
        <v>8</v>
      </c>
      <c r="C48" s="96">
        <v>17.95</v>
      </c>
      <c r="D48" s="97">
        <v>8.0589999999999993</v>
      </c>
      <c r="E48" s="95">
        <v>1102</v>
      </c>
      <c r="F48" s="96">
        <v>1402.6179999999999</v>
      </c>
      <c r="G48" s="96">
        <v>1517.8230000000001</v>
      </c>
      <c r="H48" s="98">
        <f t="shared" si="14"/>
        <v>92.409852795747582</v>
      </c>
      <c r="I48" s="99"/>
      <c r="J48" s="100"/>
      <c r="K48" s="98"/>
      <c r="L48" s="99">
        <v>129.21181000000001</v>
      </c>
      <c r="M48" s="100"/>
      <c r="N48" s="100"/>
      <c r="O48" s="98">
        <f t="shared" si="15"/>
        <v>129.21181000000001</v>
      </c>
      <c r="P48" s="99">
        <v>165.25784999999999</v>
      </c>
      <c r="Q48" s="98">
        <f t="shared" si="16"/>
        <v>78.188001356667797</v>
      </c>
    </row>
    <row r="49" spans="1:17" ht="25.5" customHeight="1" x14ac:dyDescent="0.3">
      <c r="A49" s="76" t="s">
        <v>29</v>
      </c>
      <c r="B49" s="90"/>
      <c r="C49" s="91"/>
      <c r="D49" s="102"/>
      <c r="E49" s="90"/>
      <c r="F49" s="91"/>
      <c r="G49" s="91"/>
      <c r="H49" s="80" t="str">
        <f t="shared" si="14"/>
        <v xml:space="preserve"> </v>
      </c>
      <c r="I49" s="92"/>
      <c r="J49" s="93"/>
      <c r="K49" s="80"/>
      <c r="L49" s="92"/>
      <c r="M49" s="93"/>
      <c r="N49" s="93"/>
      <c r="O49" s="80" t="str">
        <f t="shared" si="15"/>
        <v/>
      </c>
      <c r="P49" s="92"/>
      <c r="Q49" s="80" t="str">
        <f t="shared" si="16"/>
        <v xml:space="preserve"> </v>
      </c>
    </row>
    <row r="50" spans="1:17" ht="25.5" customHeight="1" x14ac:dyDescent="0.3">
      <c r="A50" s="69" t="s">
        <v>30</v>
      </c>
      <c r="B50" s="103"/>
      <c r="C50" s="104"/>
      <c r="D50" s="105"/>
      <c r="E50" s="103"/>
      <c r="F50" s="104"/>
      <c r="G50" s="104"/>
      <c r="H50" s="86" t="str">
        <f t="shared" si="14"/>
        <v xml:space="preserve"> </v>
      </c>
      <c r="I50" s="106"/>
      <c r="J50" s="107"/>
      <c r="K50" s="86"/>
      <c r="L50" s="106"/>
      <c r="M50" s="107"/>
      <c r="N50" s="107"/>
      <c r="O50" s="86" t="str">
        <f t="shared" si="15"/>
        <v/>
      </c>
      <c r="P50" s="106"/>
      <c r="Q50" s="86" t="str">
        <f t="shared" si="16"/>
        <v xml:space="preserve"> </v>
      </c>
    </row>
    <row r="51" spans="1:17" ht="25.5" customHeight="1" x14ac:dyDescent="0.3">
      <c r="A51" s="76" t="s">
        <v>31</v>
      </c>
      <c r="B51" s="90">
        <v>3</v>
      </c>
      <c r="C51" s="91">
        <v>5.7333333333333334</v>
      </c>
      <c r="D51" s="102">
        <v>2.4430000000000001</v>
      </c>
      <c r="E51" s="90">
        <v>309</v>
      </c>
      <c r="F51" s="91">
        <v>243.739</v>
      </c>
      <c r="G51" s="91">
        <v>461.72699999999998</v>
      </c>
      <c r="H51" s="80">
        <f t="shared" si="14"/>
        <v>52.788552542952871</v>
      </c>
      <c r="I51" s="92">
        <v>8.4000000000000005E-2</v>
      </c>
      <c r="J51" s="93">
        <v>3.5999999999999997E-2</v>
      </c>
      <c r="K51" s="80">
        <f>IF(AND(ISBLANK(I51),ISBLANK(J51))=TRUE,"",I51+J51)</f>
        <v>0.12</v>
      </c>
      <c r="L51" s="92">
        <v>27.056940000000001</v>
      </c>
      <c r="M51" s="93">
        <v>3.8300000000000001E-2</v>
      </c>
      <c r="N51" s="93">
        <v>1.6420000000000001E-2</v>
      </c>
      <c r="O51" s="80">
        <f t="shared" si="15"/>
        <v>27.111660000000001</v>
      </c>
      <c r="P51" s="92">
        <v>50.096159999999998</v>
      </c>
      <c r="Q51" s="80">
        <f t="shared" si="16"/>
        <v>54.119237881705907</v>
      </c>
    </row>
    <row r="52" spans="1:17" ht="25.5" customHeight="1" x14ac:dyDescent="0.3">
      <c r="A52" s="69" t="s">
        <v>32</v>
      </c>
      <c r="B52" s="103">
        <v>9</v>
      </c>
      <c r="C52" s="104">
        <v>17.316666666666666</v>
      </c>
      <c r="D52" s="105">
        <v>8.5</v>
      </c>
      <c r="E52" s="103">
        <v>1396</v>
      </c>
      <c r="F52" s="104">
        <v>1272.3779999999999</v>
      </c>
      <c r="G52" s="104">
        <v>1600.3230000000001</v>
      </c>
      <c r="H52" s="86">
        <f t="shared" si="14"/>
        <v>79.507574408416289</v>
      </c>
      <c r="I52" s="106">
        <v>3.8774799999999998</v>
      </c>
      <c r="J52" s="107">
        <v>0</v>
      </c>
      <c r="K52" s="86">
        <f>IF(AND(ISBLANK(I52),ISBLANK(J52))=TRUE,"",I52+J52)</f>
        <v>3.8774799999999998</v>
      </c>
      <c r="L52" s="106">
        <v>109.59617</v>
      </c>
      <c r="M52" s="107">
        <v>4.0586700000000002</v>
      </c>
      <c r="N52" s="107">
        <v>0</v>
      </c>
      <c r="O52" s="86">
        <f t="shared" si="15"/>
        <v>113.65484000000001</v>
      </c>
      <c r="P52" s="106">
        <v>174.30099999999999</v>
      </c>
      <c r="Q52" s="86">
        <f t="shared" si="16"/>
        <v>65.206074549199371</v>
      </c>
    </row>
    <row r="53" spans="1:17" ht="25.5" customHeight="1" x14ac:dyDescent="0.3">
      <c r="A53" s="76" t="s">
        <v>33</v>
      </c>
      <c r="B53" s="108">
        <v>13</v>
      </c>
      <c r="C53" s="109">
        <v>21.88</v>
      </c>
      <c r="D53" s="110">
        <v>9.6530000000000005</v>
      </c>
      <c r="E53" s="108">
        <v>1927</v>
      </c>
      <c r="F53" s="109">
        <v>1478.5550000000001</v>
      </c>
      <c r="G53" s="109">
        <v>1814.31</v>
      </c>
      <c r="H53" s="111">
        <f t="shared" si="14"/>
        <v>81.494066614856337</v>
      </c>
      <c r="I53" s="112">
        <v>2.0089999999999999</v>
      </c>
      <c r="J53" s="113">
        <v>0</v>
      </c>
      <c r="K53" s="111">
        <f>IF(AND(ISBLANK(I53),ISBLANK(J53))=TRUE,"",I53+J53)</f>
        <v>2.0089999999999999</v>
      </c>
      <c r="L53" s="112">
        <v>128.89514</v>
      </c>
      <c r="M53" s="113">
        <v>1.4547399999999999</v>
      </c>
      <c r="N53" s="113"/>
      <c r="O53" s="111">
        <f t="shared" si="15"/>
        <v>130.34987999999998</v>
      </c>
      <c r="P53" s="112">
        <v>197.94442000000001</v>
      </c>
      <c r="Q53" s="111">
        <f t="shared" si="16"/>
        <v>65.851757781300407</v>
      </c>
    </row>
    <row r="54" spans="1:17" ht="25.5" customHeight="1" x14ac:dyDescent="0.3">
      <c r="A54" s="114" t="s">
        <v>34</v>
      </c>
      <c r="B54" s="115">
        <f t="shared" ref="B54:G54" si="17">SUM(B42:B53)</f>
        <v>51</v>
      </c>
      <c r="C54" s="115">
        <f t="shared" si="17"/>
        <v>99.246633333333321</v>
      </c>
      <c r="D54" s="115">
        <f t="shared" si="17"/>
        <v>45.086999999999996</v>
      </c>
      <c r="E54" s="115">
        <f t="shared" si="17"/>
        <v>6869</v>
      </c>
      <c r="F54" s="115">
        <f t="shared" si="17"/>
        <v>6201.5110000000004</v>
      </c>
      <c r="G54" s="115">
        <f t="shared" si="17"/>
        <v>8475.7000000000007</v>
      </c>
      <c r="H54" s="116">
        <f t="shared" si="14"/>
        <v>73.168127706266148</v>
      </c>
      <c r="I54" s="116">
        <f>SUM(I42:I53)</f>
        <v>9.0917899999999996</v>
      </c>
      <c r="J54" s="146">
        <f>SUM(J42:J53)</f>
        <v>9.0200000000000002E-2</v>
      </c>
      <c r="K54" s="143">
        <f t="shared" ref="K54" si="18">IF(AND(ISBLANK(I54),ISBLANK(J54))=TRUE,"",I54+J54)</f>
        <v>9.181989999999999</v>
      </c>
      <c r="L54" s="116">
        <f>SUM(L42:L53)</f>
        <v>555.57021999999995</v>
      </c>
      <c r="M54" s="116">
        <f>SUM(M42:M53)</f>
        <v>8.8441499999999991</v>
      </c>
      <c r="N54" s="146">
        <f>SUM(N42:N53)</f>
        <v>5.1449999999999996E-2</v>
      </c>
      <c r="O54" s="116">
        <f t="shared" si="15"/>
        <v>564.46582000000001</v>
      </c>
      <c r="P54" s="117">
        <f>SUM(P42:P53)</f>
        <v>924.55403000000001</v>
      </c>
      <c r="Q54" s="116">
        <f t="shared" si="16"/>
        <v>61.052767246063489</v>
      </c>
    </row>
    <row r="55" spans="1:17" ht="22.5" customHeight="1" x14ac:dyDescent="0.3">
      <c r="A55" s="154" t="s">
        <v>35</v>
      </c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</row>
    <row r="56" spans="1:17" ht="22.5" customHeight="1" x14ac:dyDescent="0.3">
      <c r="A56" s="147" t="s">
        <v>36</v>
      </c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</row>
    <row r="57" spans="1:17" ht="22.5" customHeight="1" x14ac:dyDescent="0.3">
      <c r="A57" s="147" t="s">
        <v>37</v>
      </c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</row>
    <row r="58" spans="1:17" ht="47.25" customHeight="1" x14ac:dyDescent="0.3">
      <c r="A58" s="148">
        <v>2024</v>
      </c>
      <c r="B58" s="148"/>
      <c r="C58" s="149" t="s">
        <v>40</v>
      </c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50" t="s">
        <v>1</v>
      </c>
      <c r="P58" s="150"/>
      <c r="Q58" s="150"/>
    </row>
    <row r="59" spans="1:17" ht="28.9" customHeight="1" x14ac:dyDescent="0.3">
      <c r="A59" s="151" t="s">
        <v>2</v>
      </c>
      <c r="B59" s="151" t="s">
        <v>3</v>
      </c>
      <c r="C59" s="151"/>
      <c r="D59" s="151"/>
      <c r="E59" s="152" t="s">
        <v>4</v>
      </c>
      <c r="F59" s="152" t="s">
        <v>5</v>
      </c>
      <c r="G59" s="152" t="s">
        <v>6</v>
      </c>
      <c r="H59" s="152" t="s">
        <v>7</v>
      </c>
      <c r="I59" s="151" t="s">
        <v>8</v>
      </c>
      <c r="J59" s="151"/>
      <c r="K59" s="151"/>
      <c r="L59" s="151" t="s">
        <v>9</v>
      </c>
      <c r="M59" s="151"/>
      <c r="N59" s="151"/>
      <c r="O59" s="151"/>
      <c r="P59" s="152" t="s">
        <v>10</v>
      </c>
      <c r="Q59" s="152" t="s">
        <v>11</v>
      </c>
    </row>
    <row r="60" spans="1:17" ht="164.25" customHeight="1" x14ac:dyDescent="0.3">
      <c r="A60" s="151"/>
      <c r="B60" s="118" t="s">
        <v>12</v>
      </c>
      <c r="C60" s="118" t="s">
        <v>13</v>
      </c>
      <c r="D60" s="118" t="s">
        <v>14</v>
      </c>
      <c r="E60" s="153"/>
      <c r="F60" s="153"/>
      <c r="G60" s="153"/>
      <c r="H60" s="153"/>
      <c r="I60" s="118" t="s">
        <v>15</v>
      </c>
      <c r="J60" s="119" t="s">
        <v>16</v>
      </c>
      <c r="K60" s="118" t="s">
        <v>17</v>
      </c>
      <c r="L60" s="118" t="s">
        <v>18</v>
      </c>
      <c r="M60" s="118" t="s">
        <v>19</v>
      </c>
      <c r="N60" s="118" t="s">
        <v>20</v>
      </c>
      <c r="O60" s="118" t="s">
        <v>21</v>
      </c>
      <c r="P60" s="153"/>
      <c r="Q60" s="153"/>
    </row>
    <row r="61" spans="1:17" ht="24.75" customHeight="1" x14ac:dyDescent="0.3">
      <c r="A61" s="120" t="s">
        <v>22</v>
      </c>
      <c r="B61" s="121"/>
      <c r="C61" s="122"/>
      <c r="D61" s="123"/>
      <c r="E61" s="121"/>
      <c r="F61" s="122"/>
      <c r="G61" s="122"/>
      <c r="H61" s="124"/>
      <c r="I61" s="125"/>
      <c r="J61" s="126"/>
      <c r="K61" s="126"/>
      <c r="L61" s="125"/>
      <c r="M61" s="126"/>
      <c r="N61" s="126"/>
      <c r="O61" s="127"/>
      <c r="P61" s="126"/>
      <c r="Q61" s="124"/>
    </row>
    <row r="62" spans="1:17" ht="24.75" customHeight="1" x14ac:dyDescent="0.3">
      <c r="A62" s="76" t="s">
        <v>23</v>
      </c>
      <c r="B62" s="90"/>
      <c r="C62" s="91"/>
      <c r="D62" s="102"/>
      <c r="E62" s="90"/>
      <c r="F62" s="91"/>
      <c r="G62" s="91"/>
      <c r="H62" s="128"/>
      <c r="I62" s="92"/>
      <c r="J62" s="93"/>
      <c r="K62" s="93"/>
      <c r="L62" s="92"/>
      <c r="M62" s="93"/>
      <c r="N62" s="93"/>
      <c r="O62" s="80"/>
      <c r="P62" s="93"/>
      <c r="Q62" s="128"/>
    </row>
    <row r="63" spans="1:17" ht="24.75" customHeight="1" x14ac:dyDescent="0.3">
      <c r="A63" s="120" t="s">
        <v>24</v>
      </c>
      <c r="B63" s="129"/>
      <c r="C63" s="130"/>
      <c r="D63" s="131"/>
      <c r="E63" s="129"/>
      <c r="F63" s="130"/>
      <c r="G63" s="130"/>
      <c r="H63" s="132"/>
      <c r="I63" s="133"/>
      <c r="J63" s="134"/>
      <c r="K63" s="134"/>
      <c r="L63" s="133"/>
      <c r="M63" s="134"/>
      <c r="N63" s="134"/>
      <c r="O63" s="135"/>
      <c r="P63" s="134"/>
      <c r="Q63" s="132"/>
    </row>
    <row r="64" spans="1:17" ht="24.75" customHeight="1" x14ac:dyDescent="0.3">
      <c r="A64" s="76" t="s">
        <v>25</v>
      </c>
      <c r="B64" s="90"/>
      <c r="C64" s="91"/>
      <c r="D64" s="102"/>
      <c r="E64" s="90"/>
      <c r="F64" s="91"/>
      <c r="G64" s="91"/>
      <c r="H64" s="128" t="str">
        <f t="shared" ref="H64:H73" si="19">IFERROR(F64/G64*100," ")</f>
        <v xml:space="preserve"> </v>
      </c>
      <c r="I64" s="92"/>
      <c r="J64" s="93"/>
      <c r="K64" s="93" t="str">
        <f t="shared" ref="K64:K73" si="20">IF(AND(ISBLANK(I64),ISBLANK(J64))=TRUE,"",I64+J64)</f>
        <v/>
      </c>
      <c r="L64" s="92"/>
      <c r="M64" s="93"/>
      <c r="N64" s="93"/>
      <c r="O64" s="80" t="str">
        <f t="shared" ref="O64:O73" si="21">IF(AND(ISBLANK(L64),ISBLANK(M64),ISBLANK(N64))=TRUE,"",L64+M64+N64)</f>
        <v/>
      </c>
      <c r="P64" s="93"/>
      <c r="Q64" s="128" t="str">
        <f t="shared" ref="Q64:Q73" si="22">IFERROR(O64/P64*100," ")</f>
        <v xml:space="preserve"> </v>
      </c>
    </row>
    <row r="65" spans="1:17" ht="24.75" customHeight="1" x14ac:dyDescent="0.3">
      <c r="A65" s="120" t="s">
        <v>26</v>
      </c>
      <c r="B65" s="129"/>
      <c r="C65" s="130"/>
      <c r="D65" s="131"/>
      <c r="E65" s="129"/>
      <c r="F65" s="130"/>
      <c r="G65" s="130"/>
      <c r="H65" s="132" t="str">
        <f t="shared" si="19"/>
        <v xml:space="preserve"> </v>
      </c>
      <c r="I65" s="133"/>
      <c r="J65" s="134"/>
      <c r="K65" s="134" t="str">
        <f t="shared" si="20"/>
        <v/>
      </c>
      <c r="L65" s="133"/>
      <c r="M65" s="134"/>
      <c r="N65" s="134"/>
      <c r="O65" s="135" t="str">
        <f t="shared" si="21"/>
        <v/>
      </c>
      <c r="P65" s="134"/>
      <c r="Q65" s="132" t="str">
        <f t="shared" si="22"/>
        <v xml:space="preserve"> </v>
      </c>
    </row>
    <row r="66" spans="1:17" ht="24.75" customHeight="1" x14ac:dyDescent="0.3">
      <c r="A66" s="76" t="s">
        <v>27</v>
      </c>
      <c r="B66" s="90"/>
      <c r="C66" s="91"/>
      <c r="D66" s="102"/>
      <c r="E66" s="90"/>
      <c r="F66" s="91"/>
      <c r="G66" s="91"/>
      <c r="H66" s="128" t="str">
        <f t="shared" si="19"/>
        <v xml:space="preserve"> </v>
      </c>
      <c r="I66" s="92"/>
      <c r="J66" s="93"/>
      <c r="K66" s="93" t="str">
        <f t="shared" si="20"/>
        <v/>
      </c>
      <c r="L66" s="92"/>
      <c r="M66" s="93"/>
      <c r="N66" s="93"/>
      <c r="O66" s="80" t="str">
        <f t="shared" si="21"/>
        <v/>
      </c>
      <c r="P66" s="93"/>
      <c r="Q66" s="128" t="str">
        <f t="shared" si="22"/>
        <v xml:space="preserve"> </v>
      </c>
    </row>
    <row r="67" spans="1:17" ht="24.75" customHeight="1" x14ac:dyDescent="0.3">
      <c r="A67" s="120" t="s">
        <v>28</v>
      </c>
      <c r="B67" s="129"/>
      <c r="C67" s="130"/>
      <c r="D67" s="131"/>
      <c r="E67" s="129"/>
      <c r="F67" s="130"/>
      <c r="G67" s="130"/>
      <c r="H67" s="132" t="str">
        <f t="shared" si="19"/>
        <v xml:space="preserve"> </v>
      </c>
      <c r="I67" s="133"/>
      <c r="J67" s="134"/>
      <c r="K67" s="134" t="str">
        <f t="shared" si="20"/>
        <v/>
      </c>
      <c r="L67" s="133"/>
      <c r="M67" s="134"/>
      <c r="N67" s="134"/>
      <c r="O67" s="135" t="str">
        <f t="shared" si="21"/>
        <v/>
      </c>
      <c r="P67" s="134"/>
      <c r="Q67" s="132" t="str">
        <f t="shared" si="22"/>
        <v xml:space="preserve"> </v>
      </c>
    </row>
    <row r="68" spans="1:17" ht="24.75" customHeight="1" x14ac:dyDescent="0.3">
      <c r="A68" s="76" t="s">
        <v>29</v>
      </c>
      <c r="B68" s="90"/>
      <c r="C68" s="91"/>
      <c r="D68" s="102"/>
      <c r="E68" s="90"/>
      <c r="F68" s="91"/>
      <c r="G68" s="91"/>
      <c r="H68" s="128" t="str">
        <f t="shared" si="19"/>
        <v xml:space="preserve"> </v>
      </c>
      <c r="I68" s="92"/>
      <c r="J68" s="93"/>
      <c r="K68" s="93" t="str">
        <f t="shared" si="20"/>
        <v/>
      </c>
      <c r="L68" s="92"/>
      <c r="M68" s="93"/>
      <c r="N68" s="93"/>
      <c r="O68" s="80" t="str">
        <f t="shared" si="21"/>
        <v/>
      </c>
      <c r="P68" s="93"/>
      <c r="Q68" s="128" t="str">
        <f t="shared" si="22"/>
        <v xml:space="preserve"> </v>
      </c>
    </row>
    <row r="69" spans="1:17" ht="24.75" customHeight="1" x14ac:dyDescent="0.3">
      <c r="A69" s="120" t="s">
        <v>30</v>
      </c>
      <c r="B69" s="129"/>
      <c r="C69" s="130"/>
      <c r="D69" s="131"/>
      <c r="E69" s="129"/>
      <c r="F69" s="130"/>
      <c r="G69" s="130"/>
      <c r="H69" s="132" t="str">
        <f t="shared" si="19"/>
        <v xml:space="preserve"> </v>
      </c>
      <c r="I69" s="133"/>
      <c r="J69" s="134"/>
      <c r="K69" s="134" t="str">
        <f t="shared" si="20"/>
        <v/>
      </c>
      <c r="L69" s="133"/>
      <c r="M69" s="134"/>
      <c r="N69" s="134"/>
      <c r="O69" s="135" t="str">
        <f t="shared" si="21"/>
        <v/>
      </c>
      <c r="P69" s="134"/>
      <c r="Q69" s="132" t="str">
        <f t="shared" si="22"/>
        <v xml:space="preserve"> </v>
      </c>
    </row>
    <row r="70" spans="1:17" ht="24.75" customHeight="1" x14ac:dyDescent="0.3">
      <c r="A70" s="76" t="s">
        <v>31</v>
      </c>
      <c r="B70" s="90"/>
      <c r="C70" s="91"/>
      <c r="D70" s="102"/>
      <c r="E70" s="90"/>
      <c r="F70" s="91"/>
      <c r="G70" s="91"/>
      <c r="H70" s="128" t="str">
        <f t="shared" si="19"/>
        <v xml:space="preserve"> </v>
      </c>
      <c r="I70" s="92"/>
      <c r="J70" s="93"/>
      <c r="K70" s="93" t="str">
        <f t="shared" si="20"/>
        <v/>
      </c>
      <c r="L70" s="92"/>
      <c r="M70" s="93"/>
      <c r="N70" s="93"/>
      <c r="O70" s="80" t="str">
        <f t="shared" si="21"/>
        <v/>
      </c>
      <c r="P70" s="93"/>
      <c r="Q70" s="128" t="str">
        <f t="shared" si="22"/>
        <v xml:space="preserve"> </v>
      </c>
    </row>
    <row r="71" spans="1:17" ht="24.75" customHeight="1" x14ac:dyDescent="0.3">
      <c r="A71" s="120" t="s">
        <v>32</v>
      </c>
      <c r="B71" s="129"/>
      <c r="C71" s="130"/>
      <c r="D71" s="131"/>
      <c r="E71" s="129"/>
      <c r="F71" s="130"/>
      <c r="G71" s="130"/>
      <c r="H71" s="132" t="str">
        <f t="shared" si="19"/>
        <v xml:space="preserve"> </v>
      </c>
      <c r="I71" s="133"/>
      <c r="J71" s="134"/>
      <c r="K71" s="134" t="str">
        <f t="shared" si="20"/>
        <v/>
      </c>
      <c r="L71" s="133"/>
      <c r="M71" s="134"/>
      <c r="N71" s="134"/>
      <c r="O71" s="135" t="str">
        <f t="shared" si="21"/>
        <v/>
      </c>
      <c r="P71" s="134"/>
      <c r="Q71" s="132" t="str">
        <f t="shared" si="22"/>
        <v xml:space="preserve"> </v>
      </c>
    </row>
    <row r="72" spans="1:17" ht="24.75" customHeight="1" x14ac:dyDescent="0.3">
      <c r="A72" s="76" t="s">
        <v>33</v>
      </c>
      <c r="B72" s="108"/>
      <c r="C72" s="109"/>
      <c r="D72" s="110"/>
      <c r="E72" s="108"/>
      <c r="F72" s="109"/>
      <c r="G72" s="109"/>
      <c r="H72" s="111" t="str">
        <f t="shared" si="19"/>
        <v xml:space="preserve"> </v>
      </c>
      <c r="I72" s="112"/>
      <c r="J72" s="113"/>
      <c r="K72" s="113" t="str">
        <f t="shared" si="20"/>
        <v/>
      </c>
      <c r="L72" s="112"/>
      <c r="M72" s="113"/>
      <c r="N72" s="113"/>
      <c r="O72" s="111" t="str">
        <f t="shared" si="21"/>
        <v/>
      </c>
      <c r="P72" s="113"/>
      <c r="Q72" s="111" t="str">
        <f t="shared" si="22"/>
        <v xml:space="preserve"> </v>
      </c>
    </row>
    <row r="73" spans="1:17" ht="24.75" customHeight="1" x14ac:dyDescent="0.3">
      <c r="A73" s="136" t="s">
        <v>34</v>
      </c>
      <c r="B73" s="137">
        <f t="shared" ref="B73:G73" si="23">SUM(B61:B72)</f>
        <v>0</v>
      </c>
      <c r="C73" s="137">
        <f t="shared" si="23"/>
        <v>0</v>
      </c>
      <c r="D73" s="137">
        <f t="shared" si="23"/>
        <v>0</v>
      </c>
      <c r="E73" s="137">
        <f t="shared" si="23"/>
        <v>0</v>
      </c>
      <c r="F73" s="137">
        <f t="shared" si="23"/>
        <v>0</v>
      </c>
      <c r="G73" s="137">
        <f t="shared" si="23"/>
        <v>0</v>
      </c>
      <c r="H73" s="138" t="str">
        <f t="shared" si="19"/>
        <v xml:space="preserve"> </v>
      </c>
      <c r="I73" s="139">
        <f>SUM(I61:I72)</f>
        <v>0</v>
      </c>
      <c r="J73" s="139">
        <f>SUM(J61:J72)</f>
        <v>0</v>
      </c>
      <c r="K73" s="139">
        <f t="shared" si="20"/>
        <v>0</v>
      </c>
      <c r="L73" s="139">
        <f>SUM(L61:L72)</f>
        <v>0</v>
      </c>
      <c r="M73" s="139">
        <f>SUM(M61:M72)</f>
        <v>0</v>
      </c>
      <c r="N73" s="139">
        <f>SUM(N61:N72)</f>
        <v>0</v>
      </c>
      <c r="O73" s="139">
        <f t="shared" si="21"/>
        <v>0</v>
      </c>
      <c r="P73" s="139">
        <f>SUM(P61:P72)</f>
        <v>0</v>
      </c>
      <c r="Q73" s="138" t="str">
        <f t="shared" si="22"/>
        <v xml:space="preserve"> </v>
      </c>
    </row>
    <row r="74" spans="1:17" x14ac:dyDescent="0.3">
      <c r="A74" s="154" t="s">
        <v>35</v>
      </c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</row>
    <row r="75" spans="1:17" x14ac:dyDescent="0.3">
      <c r="A75" s="147" t="s">
        <v>36</v>
      </c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</row>
    <row r="76" spans="1:17" x14ac:dyDescent="0.3">
      <c r="A76" s="147" t="s">
        <v>37</v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</row>
    <row r="79" spans="1:17" x14ac:dyDescent="0.3">
      <c r="H79" s="140"/>
      <c r="Q79" s="140"/>
    </row>
    <row r="81" spans="8:17" x14ac:dyDescent="0.3">
      <c r="H81" s="140"/>
      <c r="Q81" s="140"/>
    </row>
    <row r="83" spans="8:17" x14ac:dyDescent="0.3">
      <c r="H83" s="140"/>
      <c r="Q83" s="140"/>
    </row>
    <row r="85" spans="8:17" x14ac:dyDescent="0.3">
      <c r="H85" s="140"/>
      <c r="Q85" s="140"/>
    </row>
    <row r="87" spans="8:17" x14ac:dyDescent="0.3">
      <c r="H87" s="140"/>
      <c r="Q87" s="140"/>
    </row>
    <row r="89" spans="8:17" x14ac:dyDescent="0.3">
      <c r="H89" s="140"/>
      <c r="Q89" s="140"/>
    </row>
    <row r="91" spans="8:17" x14ac:dyDescent="0.3">
      <c r="H91" s="140"/>
      <c r="Q91" s="140"/>
    </row>
    <row r="93" spans="8:17" x14ac:dyDescent="0.3">
      <c r="H93" s="140"/>
      <c r="Q93" s="140"/>
    </row>
    <row r="95" spans="8:17" x14ac:dyDescent="0.3">
      <c r="H95" s="140"/>
      <c r="Q95" s="140"/>
    </row>
    <row r="96" spans="8:17" x14ac:dyDescent="0.3">
      <c r="H96" s="140"/>
      <c r="Q96" s="140"/>
    </row>
    <row r="97" spans="8:17" x14ac:dyDescent="0.3">
      <c r="H97" s="140"/>
      <c r="Q97" s="140"/>
    </row>
    <row r="98" spans="8:17" x14ac:dyDescent="0.3">
      <c r="H98" s="140"/>
      <c r="Q98" s="140"/>
    </row>
    <row r="99" spans="8:17" x14ac:dyDescent="0.3">
      <c r="H99" s="140"/>
      <c r="Q99" s="140"/>
    </row>
    <row r="100" spans="8:17" x14ac:dyDescent="0.3">
      <c r="H100" s="140"/>
      <c r="Q100" s="140"/>
    </row>
    <row r="101" spans="8:17" x14ac:dyDescent="0.3">
      <c r="H101" s="140"/>
      <c r="Q101" s="140"/>
    </row>
    <row r="121" spans="8:17" x14ac:dyDescent="0.3">
      <c r="H121" s="140"/>
      <c r="Q121" s="140"/>
    </row>
    <row r="124" spans="8:17" x14ac:dyDescent="0.3">
      <c r="H124" s="140"/>
      <c r="Q124" s="140"/>
    </row>
    <row r="126" spans="8:17" x14ac:dyDescent="0.3">
      <c r="H126" s="140"/>
      <c r="Q126" s="140"/>
    </row>
    <row r="128" spans="8:17" x14ac:dyDescent="0.3">
      <c r="H128" s="140"/>
      <c r="Q128" s="140"/>
    </row>
    <row r="130" spans="8:17" x14ac:dyDescent="0.3">
      <c r="H130" s="140"/>
      <c r="Q130" s="140"/>
    </row>
    <row r="132" spans="8:17" x14ac:dyDescent="0.3">
      <c r="H132" s="140"/>
      <c r="Q132" s="140"/>
    </row>
    <row r="134" spans="8:17" x14ac:dyDescent="0.3">
      <c r="H134" s="140"/>
      <c r="Q134" s="140"/>
    </row>
    <row r="136" spans="8:17" x14ac:dyDescent="0.3">
      <c r="H136" s="140"/>
      <c r="Q136" s="140"/>
    </row>
    <row r="138" spans="8:17" x14ac:dyDescent="0.3">
      <c r="H138" s="140"/>
      <c r="Q138" s="140"/>
    </row>
    <row r="140" spans="8:17" x14ac:dyDescent="0.3">
      <c r="H140" s="140"/>
      <c r="Q140" s="140"/>
    </row>
    <row r="141" spans="8:17" x14ac:dyDescent="0.3">
      <c r="Q141" s="140"/>
    </row>
    <row r="142" spans="8:17" x14ac:dyDescent="0.3">
      <c r="H142" s="140"/>
      <c r="Q142" s="140"/>
    </row>
    <row r="143" spans="8:17" x14ac:dyDescent="0.3">
      <c r="H143" s="140"/>
      <c r="Q143" s="140"/>
    </row>
    <row r="144" spans="8:17" x14ac:dyDescent="0.3">
      <c r="H144" s="140"/>
      <c r="Q144" s="140"/>
    </row>
    <row r="145" spans="8:17" x14ac:dyDescent="0.3">
      <c r="H145" s="140"/>
      <c r="Q145" s="140"/>
    </row>
    <row r="146" spans="8:17" x14ac:dyDescent="0.3">
      <c r="H146" s="140"/>
      <c r="Q146" s="140"/>
    </row>
    <row r="169" spans="8:17" x14ac:dyDescent="0.3">
      <c r="H169" s="140"/>
      <c r="Q169" s="140"/>
    </row>
    <row r="172" spans="8:17" x14ac:dyDescent="0.3">
      <c r="H172" s="140"/>
      <c r="Q172" s="140"/>
    </row>
    <row r="174" spans="8:17" x14ac:dyDescent="0.3">
      <c r="H174" s="140"/>
      <c r="Q174" s="140"/>
    </row>
    <row r="176" spans="8:17" x14ac:dyDescent="0.3">
      <c r="H176" s="140"/>
      <c r="Q176" s="140"/>
    </row>
    <row r="178" spans="8:17" x14ac:dyDescent="0.3">
      <c r="H178" s="140"/>
      <c r="Q178" s="140"/>
    </row>
    <row r="180" spans="8:17" x14ac:dyDescent="0.3">
      <c r="H180" s="140"/>
      <c r="Q180" s="140"/>
    </row>
    <row r="182" spans="8:17" x14ac:dyDescent="0.3">
      <c r="H182" s="140"/>
      <c r="Q182" s="140"/>
    </row>
    <row r="184" spans="8:17" x14ac:dyDescent="0.3">
      <c r="H184" s="140"/>
      <c r="Q184" s="140"/>
    </row>
    <row r="186" spans="8:17" x14ac:dyDescent="0.3">
      <c r="H186" s="140"/>
      <c r="Q186" s="140"/>
    </row>
    <row r="188" spans="8:17" x14ac:dyDescent="0.3">
      <c r="H188" s="140"/>
      <c r="Q188" s="140"/>
    </row>
    <row r="190" spans="8:17" x14ac:dyDescent="0.3">
      <c r="H190" s="140"/>
      <c r="Q190" s="140"/>
    </row>
    <row r="192" spans="8:17" x14ac:dyDescent="0.3">
      <c r="H192" s="140"/>
      <c r="Q192" s="140"/>
    </row>
    <row r="194" spans="8:17" x14ac:dyDescent="0.3">
      <c r="H194" s="140"/>
      <c r="Q194" s="140"/>
    </row>
    <row r="217" spans="8:17" x14ac:dyDescent="0.3">
      <c r="H217" s="140"/>
      <c r="Q217" s="140"/>
    </row>
    <row r="219" spans="8:17" x14ac:dyDescent="0.3">
      <c r="H219" s="140"/>
      <c r="Q219" s="140"/>
    </row>
    <row r="220" spans="8:17" x14ac:dyDescent="0.3">
      <c r="H220" s="140"/>
      <c r="Q220" s="140"/>
    </row>
    <row r="221" spans="8:17" x14ac:dyDescent="0.3">
      <c r="H221" s="140"/>
      <c r="Q221" s="140"/>
    </row>
    <row r="222" spans="8:17" x14ac:dyDescent="0.3">
      <c r="H222" s="140"/>
      <c r="Q222" s="140"/>
    </row>
    <row r="223" spans="8:17" x14ac:dyDescent="0.3">
      <c r="H223" s="140"/>
      <c r="Q223" s="140"/>
    </row>
    <row r="224" spans="8:17" x14ac:dyDescent="0.3">
      <c r="H224" s="140"/>
      <c r="Q224" s="140"/>
    </row>
    <row r="225" spans="8:17" x14ac:dyDescent="0.3">
      <c r="H225" s="140"/>
      <c r="Q225" s="140"/>
    </row>
    <row r="226" spans="8:17" x14ac:dyDescent="0.3">
      <c r="H226" s="140"/>
      <c r="Q226" s="140"/>
    </row>
    <row r="227" spans="8:17" x14ac:dyDescent="0.3">
      <c r="H227" s="140"/>
      <c r="Q227" s="140"/>
    </row>
    <row r="228" spans="8:17" x14ac:dyDescent="0.3">
      <c r="H228" s="140"/>
      <c r="Q228" s="140"/>
    </row>
    <row r="229" spans="8:17" x14ac:dyDescent="0.3">
      <c r="H229" s="140"/>
      <c r="Q229" s="140"/>
    </row>
    <row r="230" spans="8:17" x14ac:dyDescent="0.3">
      <c r="H230" s="140"/>
      <c r="Q230" s="140"/>
    </row>
    <row r="231" spans="8:17" x14ac:dyDescent="0.3">
      <c r="H231" s="140"/>
      <c r="Q231" s="140"/>
    </row>
    <row r="232" spans="8:17" x14ac:dyDescent="0.3">
      <c r="H232" s="140"/>
      <c r="Q232" s="140"/>
    </row>
    <row r="233" spans="8:17" x14ac:dyDescent="0.3">
      <c r="H233" s="140"/>
      <c r="Q233" s="140"/>
    </row>
    <row r="234" spans="8:17" x14ac:dyDescent="0.3">
      <c r="H234" s="140"/>
      <c r="Q234" s="140"/>
    </row>
    <row r="235" spans="8:17" x14ac:dyDescent="0.3">
      <c r="H235" s="140"/>
      <c r="Q235" s="140"/>
    </row>
    <row r="236" spans="8:17" x14ac:dyDescent="0.3">
      <c r="H236" s="140"/>
      <c r="Q236" s="140"/>
    </row>
    <row r="237" spans="8:17" x14ac:dyDescent="0.3">
      <c r="H237" s="140"/>
      <c r="Q237" s="140"/>
    </row>
    <row r="238" spans="8:17" x14ac:dyDescent="0.3">
      <c r="H238" s="140"/>
      <c r="Q238" s="140"/>
    </row>
    <row r="239" spans="8:17" x14ac:dyDescent="0.3">
      <c r="H239" s="140"/>
      <c r="Q239" s="140"/>
    </row>
    <row r="240" spans="8:17" x14ac:dyDescent="0.3">
      <c r="H240" s="140"/>
      <c r="Q240" s="140"/>
    </row>
    <row r="241" spans="8:17" x14ac:dyDescent="0.3">
      <c r="H241" s="140"/>
      <c r="Q241" s="140"/>
    </row>
    <row r="242" spans="8:17" x14ac:dyDescent="0.3">
      <c r="H242" s="140"/>
      <c r="Q242" s="140"/>
    </row>
    <row r="265" spans="8:17" x14ac:dyDescent="0.3">
      <c r="H265" s="140"/>
      <c r="Q265" s="140"/>
    </row>
    <row r="268" spans="8:17" x14ac:dyDescent="0.3">
      <c r="H268" s="140"/>
      <c r="Q268" s="140"/>
    </row>
    <row r="270" spans="8:17" x14ac:dyDescent="0.3">
      <c r="H270" s="140"/>
      <c r="Q270" s="140"/>
    </row>
    <row r="271" spans="8:17" x14ac:dyDescent="0.3">
      <c r="H271" s="140"/>
    </row>
    <row r="272" spans="8:17" x14ac:dyDescent="0.3">
      <c r="H272" s="140"/>
      <c r="Q272" s="140"/>
    </row>
    <row r="274" spans="8:17" x14ac:dyDescent="0.3">
      <c r="H274" s="140"/>
      <c r="Q274" s="140"/>
    </row>
    <row r="276" spans="8:17" x14ac:dyDescent="0.3">
      <c r="H276" s="140"/>
      <c r="Q276" s="140"/>
    </row>
    <row r="278" spans="8:17" x14ac:dyDescent="0.3">
      <c r="H278" s="140"/>
      <c r="Q278" s="140"/>
    </row>
    <row r="280" spans="8:17" x14ac:dyDescent="0.3">
      <c r="H280" s="140"/>
      <c r="Q280" s="140"/>
    </row>
    <row r="282" spans="8:17" x14ac:dyDescent="0.3">
      <c r="H282" s="140"/>
      <c r="Q282" s="140"/>
    </row>
    <row r="284" spans="8:17" x14ac:dyDescent="0.3">
      <c r="H284" s="140"/>
      <c r="Q284" s="140"/>
    </row>
    <row r="285" spans="8:17" x14ac:dyDescent="0.3">
      <c r="H285" s="140"/>
      <c r="Q285" s="140"/>
    </row>
    <row r="286" spans="8:17" x14ac:dyDescent="0.3">
      <c r="H286" s="140"/>
      <c r="Q286" s="140"/>
    </row>
    <row r="287" spans="8:17" x14ac:dyDescent="0.3">
      <c r="H287" s="140"/>
      <c r="Q287" s="140"/>
    </row>
    <row r="288" spans="8:17" x14ac:dyDescent="0.3">
      <c r="H288" s="140"/>
      <c r="Q288" s="140"/>
    </row>
    <row r="289" spans="8:17" x14ac:dyDescent="0.3">
      <c r="H289" s="140"/>
      <c r="Q289" s="140"/>
    </row>
    <row r="290" spans="8:17" x14ac:dyDescent="0.3">
      <c r="H290" s="140"/>
      <c r="Q290" s="140"/>
    </row>
    <row r="292" spans="8:17" x14ac:dyDescent="0.3">
      <c r="H292" s="140"/>
    </row>
    <row r="311" spans="8:17" x14ac:dyDescent="0.3">
      <c r="H311" s="140"/>
      <c r="Q311" s="140"/>
    </row>
    <row r="314" spans="8:17" x14ac:dyDescent="0.3">
      <c r="H314" s="140"/>
      <c r="Q314" s="140"/>
    </row>
    <row r="316" spans="8:17" x14ac:dyDescent="0.3">
      <c r="H316" s="140"/>
      <c r="Q316" s="140"/>
    </row>
    <row r="318" spans="8:17" x14ac:dyDescent="0.3">
      <c r="H318" s="140"/>
      <c r="Q318" s="140"/>
    </row>
    <row r="320" spans="8:17" x14ac:dyDescent="0.3">
      <c r="H320" s="140"/>
      <c r="Q320" s="140"/>
    </row>
    <row r="322" spans="8:17" x14ac:dyDescent="0.3">
      <c r="H322" s="140"/>
      <c r="Q322" s="140"/>
    </row>
    <row r="324" spans="8:17" x14ac:dyDescent="0.3">
      <c r="H324" s="140"/>
      <c r="Q324" s="140"/>
    </row>
    <row r="326" spans="8:17" x14ac:dyDescent="0.3">
      <c r="H326" s="140"/>
      <c r="Q326" s="140"/>
    </row>
    <row r="328" spans="8:17" x14ac:dyDescent="0.3">
      <c r="H328" s="140"/>
      <c r="Q328" s="140"/>
    </row>
    <row r="330" spans="8:17" x14ac:dyDescent="0.3">
      <c r="H330" s="140"/>
      <c r="Q330" s="140"/>
    </row>
    <row r="332" spans="8:17" x14ac:dyDescent="0.3">
      <c r="H332" s="140"/>
      <c r="Q332" s="140"/>
    </row>
    <row r="334" spans="8:17" x14ac:dyDescent="0.3">
      <c r="H334" s="140"/>
      <c r="Q334" s="140"/>
    </row>
    <row r="336" spans="8:17" x14ac:dyDescent="0.3">
      <c r="H336" s="140"/>
      <c r="Q336" s="140"/>
    </row>
    <row r="362" spans="8:17" x14ac:dyDescent="0.3">
      <c r="Q362" s="140"/>
    </row>
    <row r="364" spans="8:17" x14ac:dyDescent="0.3">
      <c r="H364" s="140"/>
      <c r="Q364" s="140"/>
    </row>
    <row r="366" spans="8:17" x14ac:dyDescent="0.3">
      <c r="H366" s="140"/>
    </row>
    <row r="368" spans="8:17" x14ac:dyDescent="0.3">
      <c r="H368" s="140"/>
      <c r="Q368" s="140"/>
    </row>
    <row r="396" spans="8:17" x14ac:dyDescent="0.3">
      <c r="H396" s="140"/>
    </row>
    <row r="398" spans="8:17" x14ac:dyDescent="0.3">
      <c r="Q398" s="140"/>
    </row>
    <row r="399" spans="8:17" x14ac:dyDescent="0.3">
      <c r="Q399" s="140"/>
    </row>
    <row r="400" spans="8:17" x14ac:dyDescent="0.3">
      <c r="Q400" s="140"/>
    </row>
    <row r="401" spans="8:17" x14ac:dyDescent="0.3">
      <c r="Q401" s="140"/>
    </row>
    <row r="402" spans="8:17" x14ac:dyDescent="0.3">
      <c r="H402" s="140"/>
      <c r="Q402" s="140"/>
    </row>
    <row r="404" spans="8:17" x14ac:dyDescent="0.3">
      <c r="H404" s="140"/>
      <c r="Q404" s="140"/>
    </row>
    <row r="407" spans="8:17" x14ac:dyDescent="0.3">
      <c r="Q407" s="140"/>
    </row>
    <row r="431" spans="8:17" x14ac:dyDescent="0.3">
      <c r="Q431" s="140"/>
    </row>
    <row r="432" spans="8:17" x14ac:dyDescent="0.3">
      <c r="H432" s="140"/>
      <c r="Q432" s="140"/>
    </row>
    <row r="433" spans="8:17" x14ac:dyDescent="0.3">
      <c r="H433" s="140"/>
      <c r="Q433" s="140"/>
    </row>
    <row r="434" spans="8:17" x14ac:dyDescent="0.3">
      <c r="H434" s="140"/>
      <c r="Q434" s="140"/>
    </row>
    <row r="435" spans="8:17" x14ac:dyDescent="0.3">
      <c r="H435" s="140"/>
      <c r="Q435" s="140"/>
    </row>
    <row r="436" spans="8:17" x14ac:dyDescent="0.3">
      <c r="H436" s="140"/>
      <c r="Q436" s="140"/>
    </row>
    <row r="437" spans="8:17" x14ac:dyDescent="0.3">
      <c r="H437" s="140"/>
      <c r="Q437" s="140"/>
    </row>
    <row r="439" spans="8:17" x14ac:dyDescent="0.3">
      <c r="H439" s="140"/>
      <c r="Q439" s="140"/>
    </row>
    <row r="493" spans="13:13" x14ac:dyDescent="0.3">
      <c r="M493" s="141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Terminal 2</dc:creator>
  <cp:lastModifiedBy>Windows User</cp:lastModifiedBy>
  <cp:lastPrinted>2024-04-19T10:40:02Z</cp:lastPrinted>
  <dcterms:created xsi:type="dcterms:W3CDTF">2022-12-15T06:40:30Z</dcterms:created>
  <dcterms:modified xsi:type="dcterms:W3CDTF">2025-01-16T09:10:35Z</dcterms:modified>
</cp:coreProperties>
</file>