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Q69" i="2"/>
  <c r="O69" i="2"/>
  <c r="K69" i="2"/>
  <c r="H69" i="2"/>
  <c r="O68" i="2"/>
  <c r="Q68" i="2" s="1"/>
  <c r="K68" i="2"/>
  <c r="H68" i="2"/>
  <c r="Q67" i="2"/>
  <c r="O67" i="2"/>
  <c r="K67" i="2"/>
  <c r="H67" i="2"/>
  <c r="O66" i="2"/>
  <c r="Q66" i="2" s="1"/>
  <c r="K66" i="2"/>
  <c r="H66" i="2"/>
  <c r="Q65" i="2"/>
  <c r="O65" i="2"/>
  <c r="K65" i="2"/>
  <c r="H65" i="2"/>
  <c r="O64" i="2"/>
  <c r="Q64" i="2" s="1"/>
  <c r="K64" i="2"/>
  <c r="H64" i="2"/>
  <c r="Q63" i="2"/>
  <c r="O63" i="2"/>
  <c r="K63" i="2"/>
  <c r="H63" i="2"/>
  <c r="O62" i="2"/>
  <c r="Q62" i="2" s="1"/>
  <c r="K62" i="2"/>
  <c r="H62" i="2"/>
  <c r="Q61" i="2"/>
  <c r="O61" i="2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Q52" i="2"/>
  <c r="O52" i="2"/>
  <c r="K52" i="2"/>
  <c r="H52" i="2"/>
  <c r="O51" i="2"/>
  <c r="Q51" i="2" s="1"/>
  <c r="K51" i="2"/>
  <c r="H51" i="2"/>
  <c r="Q50" i="2"/>
  <c r="O50" i="2"/>
  <c r="K50" i="2"/>
  <c r="H50" i="2"/>
  <c r="O49" i="2"/>
  <c r="Q49" i="2" s="1"/>
  <c r="K49" i="2"/>
  <c r="H49" i="2"/>
  <c r="Q48" i="2"/>
  <c r="O48" i="2"/>
  <c r="K48" i="2"/>
  <c r="H48" i="2"/>
  <c r="O47" i="2"/>
  <c r="Q47" i="2" s="1"/>
  <c r="K47" i="2"/>
  <c r="H47" i="2"/>
  <c r="Q46" i="2"/>
  <c r="O46" i="2"/>
  <c r="K46" i="2"/>
  <c r="H46" i="2"/>
  <c r="O45" i="2"/>
  <c r="Q45" i="2" s="1"/>
  <c r="K45" i="2"/>
  <c r="H45" i="2"/>
  <c r="Q44" i="2"/>
  <c r="O44" i="2"/>
  <c r="K44" i="2"/>
  <c r="H44" i="2"/>
  <c r="O43" i="2"/>
  <c r="Q43" i="2" s="1"/>
  <c r="K43" i="2"/>
  <c r="H43" i="2"/>
  <c r="Q42" i="2"/>
  <c r="O42" i="2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Q33" i="2"/>
  <c r="O33" i="2"/>
  <c r="K33" i="2"/>
  <c r="H33" i="2"/>
  <c r="O32" i="2"/>
  <c r="Q32" i="2" s="1"/>
  <c r="K32" i="2"/>
  <c r="H32" i="2"/>
  <c r="Q31" i="2"/>
  <c r="O31" i="2"/>
  <c r="K31" i="2"/>
  <c r="H31" i="2"/>
  <c r="O30" i="2"/>
  <c r="Q30" i="2" s="1"/>
  <c r="K30" i="2"/>
  <c r="H30" i="2"/>
  <c r="Q29" i="2"/>
  <c r="O29" i="2"/>
  <c r="K29" i="2"/>
  <c r="H29" i="2"/>
  <c r="O28" i="2"/>
  <c r="Q28" i="2" s="1"/>
  <c r="K28" i="2"/>
  <c r="H28" i="2"/>
  <c r="Q27" i="2"/>
  <c r="O27" i="2"/>
  <c r="K27" i="2"/>
  <c r="H27" i="2"/>
  <c r="O26" i="2"/>
  <c r="Q26" i="2" s="1"/>
  <c r="K26" i="2"/>
  <c r="H26" i="2"/>
  <c r="Q25" i="2"/>
  <c r="O25" i="2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<sst xmlns="http://schemas.openxmlformats.org/spreadsheetml/2006/main" count="153" uniqueCount="42">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</sst>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6" transitionEvaluation="1" transitionEntry="1" codeName="Sheet12"/>
  <dimension ref="A1:Q494"/>
  <sheetViews>
    <sheetView showGridLines="0" tabSelected="1" view="pageBreakPreview" topLeftCell="A46" zoomScale="55" zoomScaleNormal="85" zoomScaleSheetLayoutView="55" workbookViewId="0">
      <selection activeCell="L8" sqref="L8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8932</v>
      </c>
      <c r="C4" s="12">
        <v>17594.666666666664</v>
      </c>
      <c r="D4" s="13">
        <v>9445.7489999999998</v>
      </c>
      <c r="E4" s="14">
        <v>1336709</v>
      </c>
      <c r="F4" s="12">
        <v>1355378.453</v>
      </c>
      <c r="G4" s="12">
        <v>1537646.6580000001</v>
      </c>
      <c r="H4" s="15">
        <f>IFERROR(F4/G4*100," ")</f>
        <v>88.146288092150229</v>
      </c>
      <c r="I4" s="16">
        <v>6753.2757000000029</v>
      </c>
      <c r="J4" s="17">
        <v>638.334620286975</v>
      </c>
      <c r="K4" s="15">
        <f>IF(AND(ISBLANK(I4),ISBLANK(J4))=TRUE,"",I4+J4)</f>
        <v>7391.6103202869781</v>
      </c>
      <c r="L4" s="16">
        <v>123977.59289400002</v>
      </c>
      <c r="M4" s="17">
        <v>8556.380286900001</v>
      </c>
      <c r="N4" s="17">
        <v>660.8961745260425</v>
      </c>
      <c r="O4" s="15">
        <f>IF(AND(ISBLANK(L4),ISBLANK(M4),ISBLANK(N4))=TRUE,"",L4+M4+N4)</f>
        <v>133194.86935542605</v>
      </c>
      <c r="P4" s="17">
        <v>169915.28312400024</v>
      </c>
      <c r="Q4" s="15">
        <f>IFERROR(O4/P4*100," ")</f>
        <v>78.388987092010737</v>
      </c>
    </row>
    <row r="5" spans="1:17" ht="23.1" customHeight="1" x14ac:dyDescent="0.3">
      <c r="A5" s="18" t="s">
        <v>23</v>
      </c>
      <c r="B5" s="19">
        <v>8683</v>
      </c>
      <c r="C5" s="19">
        <v>17014.716666666656</v>
      </c>
      <c r="D5" s="18">
        <v>9308.26</v>
      </c>
      <c r="E5" s="20">
        <v>1332374</v>
      </c>
      <c r="F5" s="19">
        <v>1337410.882</v>
      </c>
      <c r="G5" s="19">
        <v>1515858.63</v>
      </c>
      <c r="H5" s="21">
        <f t="shared" ref="H5:H16" si="0">IFERROR(F5/G5*100," ")</f>
        <v>88.227942601745141</v>
      </c>
      <c r="I5" s="22">
        <v>7608.2706000000035</v>
      </c>
      <c r="J5" s="23">
        <v>778.2614197855886</v>
      </c>
      <c r="K5" s="21">
        <f t="shared" ref="K5:K16" si="1">IF(AND(ISBLANK(I5),ISBLANK(J5))=TRUE,"",I5+J5)</f>
        <v>8386.5320197855926</v>
      </c>
      <c r="L5" s="22">
        <v>122335.5187930001</v>
      </c>
      <c r="M5" s="23">
        <v>9762.7573653000018</v>
      </c>
      <c r="N5" s="23">
        <v>872.33273656948882</v>
      </c>
      <c r="O5" s="21">
        <f t="shared" ref="O5:O16" si="2">IF(AND(ISBLANK(L5),ISBLANK(M5),ISBLANK(N5))=TRUE,"",L5+M5+N5)</f>
        <v>132970.6088948696</v>
      </c>
      <c r="P5" s="23">
        <v>171173.90665599989</v>
      </c>
      <c r="Q5" s="21">
        <f t="shared" ref="Q5:Q16" si="3">IFERROR(O5/P5*100," ")</f>
        <v>77.681587978297614</v>
      </c>
    </row>
    <row r="6" spans="1:17" ht="23.1" customHeight="1" x14ac:dyDescent="0.3">
      <c r="A6" s="24" t="s">
        <v>24</v>
      </c>
      <c r="B6" s="25">
        <v>9405</v>
      </c>
      <c r="C6" s="25">
        <v>18150.266666666692</v>
      </c>
      <c r="D6" s="24">
        <v>10092.625</v>
      </c>
      <c r="E6" s="26">
        <v>1409012</v>
      </c>
      <c r="F6" s="25">
        <v>1398790.8119999999</v>
      </c>
      <c r="G6" s="25">
        <v>1640186.696</v>
      </c>
      <c r="H6" s="27">
        <f t="shared" si="0"/>
        <v>85.282414216094821</v>
      </c>
      <c r="I6" s="28">
        <v>7749.9744999999994</v>
      </c>
      <c r="J6" s="29">
        <v>606.63076248332641</v>
      </c>
      <c r="K6" s="27">
        <f t="shared" si="1"/>
        <v>8356.6052624833264</v>
      </c>
      <c r="L6" s="28">
        <v>127909.97551400001</v>
      </c>
      <c r="M6" s="29">
        <v>9720.1095473999758</v>
      </c>
      <c r="N6" s="29">
        <v>608.43079585276985</v>
      </c>
      <c r="O6" s="27">
        <f t="shared" si="2"/>
        <v>138238.51585725276</v>
      </c>
      <c r="P6" s="29">
        <v>186809.30347599948</v>
      </c>
      <c r="Q6" s="27">
        <f t="shared" si="3"/>
        <v>73.999802624933551</v>
      </c>
    </row>
    <row r="7" spans="1:17" ht="23.1" customHeight="1" x14ac:dyDescent="0.3">
      <c r="A7" s="18" t="s">
        <v>25</v>
      </c>
      <c r="B7" s="19">
        <v>9400</v>
      </c>
      <c r="C7" s="19">
        <v>18099.135000000017</v>
      </c>
      <c r="D7" s="18">
        <v>9846.0470000000005</v>
      </c>
      <c r="E7" s="20">
        <v>1458158</v>
      </c>
      <c r="F7" s="19">
        <v>1405515.443</v>
      </c>
      <c r="G7" s="19">
        <v>1654168.442</v>
      </c>
      <c r="H7" s="21">
        <f t="shared" si="0"/>
        <v>84.968096797968045</v>
      </c>
      <c r="I7" s="22">
        <v>7261.6950000000097</v>
      </c>
      <c r="J7" s="23">
        <v>563.09301330000267</v>
      </c>
      <c r="K7" s="21">
        <f t="shared" si="1"/>
        <v>7824.7880133000126</v>
      </c>
      <c r="L7" s="22">
        <v>140838.32949999993</v>
      </c>
      <c r="M7" s="23">
        <v>8902.3848551000065</v>
      </c>
      <c r="N7" s="23">
        <v>560.14459300320857</v>
      </c>
      <c r="O7" s="21">
        <f t="shared" si="2"/>
        <v>150300.85894810315</v>
      </c>
      <c r="P7" s="23">
        <v>179966.66899999999</v>
      </c>
      <c r="Q7" s="21">
        <f t="shared" si="3"/>
        <v>83.515942025966567</v>
      </c>
    </row>
    <row r="8" spans="1:17" s="30" customFormat="1" ht="30" customHeight="1" x14ac:dyDescent="0.25">
      <c r="A8" s="24" t="s">
        <v>26</v>
      </c>
      <c r="B8" s="25">
        <v>9761</v>
      </c>
      <c r="C8" s="25">
        <v>18717.600000000068</v>
      </c>
      <c r="D8" s="24">
        <v>10128.991</v>
      </c>
      <c r="E8" s="26">
        <v>1564289</v>
      </c>
      <c r="F8" s="25">
        <v>1533842.581</v>
      </c>
      <c r="G8" s="25">
        <v>1751077.87</v>
      </c>
      <c r="H8" s="27">
        <f t="shared" si="0"/>
        <v>87.594195967995418</v>
      </c>
      <c r="I8" s="28">
        <v>8393.4794999999922</v>
      </c>
      <c r="J8" s="29">
        <v>380.67816849118816</v>
      </c>
      <c r="K8" s="27">
        <f t="shared" si="1"/>
        <v>8774.1576684911797</v>
      </c>
      <c r="L8" s="28">
        <v>153384.35209999979</v>
      </c>
      <c r="M8" s="29">
        <v>10445.064799100004</v>
      </c>
      <c r="N8" s="29">
        <v>396.01681624294224</v>
      </c>
      <c r="O8" s="27">
        <f t="shared" si="2"/>
        <v>164225.43371534275</v>
      </c>
      <c r="P8" s="29">
        <v>207598.39199999999</v>
      </c>
      <c r="Q8" s="27">
        <f t="shared" si="3"/>
        <v>79.107276377816433</v>
      </c>
    </row>
    <row r="9" spans="1:17" ht="23.1" customHeight="1" x14ac:dyDescent="0.3">
      <c r="A9" s="18" t="s">
        <v>27</v>
      </c>
      <c r="B9" s="19">
        <v>9752</v>
      </c>
      <c r="C9" s="19">
        <v>19034.904000000017</v>
      </c>
      <c r="D9" s="18">
        <v>10140.076999999999</v>
      </c>
      <c r="E9" s="20">
        <v>1498868</v>
      </c>
      <c r="F9" s="19">
        <v>1477167.409</v>
      </c>
      <c r="G9" s="19">
        <v>1754472.726</v>
      </c>
      <c r="H9" s="21">
        <f t="shared" si="0"/>
        <v>84.194378579356723</v>
      </c>
      <c r="I9" s="22">
        <v>8261.212499999996</v>
      </c>
      <c r="J9" s="23">
        <v>434.94752785613235</v>
      </c>
      <c r="K9" s="21">
        <f t="shared" si="1"/>
        <v>8696.1600278561291</v>
      </c>
      <c r="L9" s="22">
        <v>147716.74089999992</v>
      </c>
      <c r="M9" s="23">
        <v>10283.590896399983</v>
      </c>
      <c r="N9" s="23">
        <v>485.6794949800917</v>
      </c>
      <c r="O9" s="21">
        <f t="shared" si="2"/>
        <v>158486.01129137998</v>
      </c>
      <c r="P9" s="23">
        <v>175282.17416000046</v>
      </c>
      <c r="Q9" s="21">
        <f t="shared" si="3"/>
        <v>90.417643465964389</v>
      </c>
    </row>
    <row r="10" spans="1:17" ht="23.1" customHeight="1" x14ac:dyDescent="0.3">
      <c r="A10" s="24" t="s">
        <v>28</v>
      </c>
      <c r="B10" s="25">
        <v>10253</v>
      </c>
      <c r="C10" s="25">
        <v>20433.04700000001</v>
      </c>
      <c r="D10" s="24">
        <v>10590.406000000001</v>
      </c>
      <c r="E10" s="26">
        <v>1542638</v>
      </c>
      <c r="F10" s="25">
        <v>1524210.2960000001</v>
      </c>
      <c r="G10" s="25">
        <v>1852261.3419999999</v>
      </c>
      <c r="H10" s="27">
        <f t="shared" si="0"/>
        <v>82.289159819867379</v>
      </c>
      <c r="I10" s="28">
        <v>9693.4956999999977</v>
      </c>
      <c r="J10" s="29">
        <v>256.71072087575573</v>
      </c>
      <c r="K10" s="27">
        <f t="shared" si="1"/>
        <v>9950.2064208757529</v>
      </c>
      <c r="L10" s="28">
        <v>152421.02959999995</v>
      </c>
      <c r="M10" s="29">
        <v>12351.1209408</v>
      </c>
      <c r="N10" s="29">
        <v>280.11246898536803</v>
      </c>
      <c r="O10" s="27">
        <f t="shared" si="2"/>
        <v>165052.26300978533</v>
      </c>
      <c r="P10" s="29">
        <v>180721.52205000029</v>
      </c>
      <c r="Q10" s="27">
        <f t="shared" si="3"/>
        <v>91.329610960292968</v>
      </c>
    </row>
    <row r="11" spans="1:17" ht="23.1" customHeight="1" x14ac:dyDescent="0.3">
      <c r="A11" s="18" t="s">
        <v>29</v>
      </c>
      <c r="B11" s="19">
        <v>10289</v>
      </c>
      <c r="C11" s="19">
        <v>20390.499</v>
      </c>
      <c r="D11" s="18">
        <v>10753.269</v>
      </c>
      <c r="E11" s="20">
        <v>1521012</v>
      </c>
      <c r="F11" s="19">
        <v>1514311.37</v>
      </c>
      <c r="G11" s="19">
        <v>1868072.0660000001</v>
      </c>
      <c r="H11" s="21">
        <f t="shared" si="0"/>
        <v>81.06279182486314</v>
      </c>
      <c r="I11" s="22">
        <v>9347.599400000001</v>
      </c>
      <c r="J11" s="23">
        <v>214.35460213059903</v>
      </c>
      <c r="K11" s="21">
        <f t="shared" si="1"/>
        <v>9561.9540021306002</v>
      </c>
      <c r="L11" s="22">
        <v>151431.13699999981</v>
      </c>
      <c r="M11" s="23">
        <v>11832.943532799987</v>
      </c>
      <c r="N11" s="23">
        <v>211.7516457012222</v>
      </c>
      <c r="O11" s="21">
        <f t="shared" si="2"/>
        <v>163475.832178501</v>
      </c>
      <c r="P11" s="23">
        <v>179295.88225000017</v>
      </c>
      <c r="Q11" s="21">
        <f t="shared" si="3"/>
        <v>91.176568099070693</v>
      </c>
    </row>
    <row r="12" spans="1:17" ht="23.1" customHeight="1" x14ac:dyDescent="0.3">
      <c r="A12" s="24" t="s">
        <v>30</v>
      </c>
      <c r="B12" s="25">
        <v>9851</v>
      </c>
      <c r="C12" s="25">
        <v>19624.696000000007</v>
      </c>
      <c r="D12" s="24">
        <v>10412.698</v>
      </c>
      <c r="E12" s="26">
        <v>1451744</v>
      </c>
      <c r="F12" s="25">
        <v>1469559.642</v>
      </c>
      <c r="G12" s="25">
        <v>1808376.7139999999</v>
      </c>
      <c r="H12" s="27">
        <f t="shared" si="0"/>
        <v>81.264021518472177</v>
      </c>
      <c r="I12" s="28">
        <v>9181.648899999991</v>
      </c>
      <c r="J12" s="29">
        <v>53.388147662270008</v>
      </c>
      <c r="K12" s="27">
        <f t="shared" si="1"/>
        <v>9235.0370476622611</v>
      </c>
      <c r="L12" s="28">
        <v>133020.51792999997</v>
      </c>
      <c r="M12" s="29">
        <v>11714.803141100039</v>
      </c>
      <c r="N12" s="29">
        <v>48.810145725418018</v>
      </c>
      <c r="O12" s="27">
        <f t="shared" si="2"/>
        <v>144784.13121682542</v>
      </c>
      <c r="P12" s="29">
        <v>171557.11300999968</v>
      </c>
      <c r="Q12" s="27">
        <f t="shared" si="3"/>
        <v>84.394128973472689</v>
      </c>
    </row>
    <row r="13" spans="1:17" ht="23.1" customHeight="1" x14ac:dyDescent="0.3">
      <c r="A13" s="18" t="s">
        <v>31</v>
      </c>
      <c r="B13" s="19">
        <v>10121</v>
      </c>
      <c r="C13" s="19">
        <v>20001.328000000023</v>
      </c>
      <c r="D13" s="18">
        <v>10607.367</v>
      </c>
      <c r="E13" s="20">
        <v>1471093</v>
      </c>
      <c r="F13" s="19">
        <v>1482286.4539999999</v>
      </c>
      <c r="G13" s="19">
        <v>1846175.46</v>
      </c>
      <c r="H13" s="21">
        <f t="shared" si="0"/>
        <v>80.289576268119163</v>
      </c>
      <c r="I13" s="22">
        <v>11226.876199999999</v>
      </c>
      <c r="J13" s="23">
        <v>5.1670051020399939</v>
      </c>
      <c r="K13" s="21">
        <f t="shared" si="1"/>
        <v>11232.043205102038</v>
      </c>
      <c r="L13" s="22">
        <v>133788.78792000006</v>
      </c>
      <c r="M13" s="23">
        <v>14190.387845500016</v>
      </c>
      <c r="N13" s="23">
        <v>4.8786668571422407</v>
      </c>
      <c r="O13" s="21">
        <f t="shared" si="2"/>
        <v>147984.05443235722</v>
      </c>
      <c r="P13" s="23">
        <v>176675.7554999995</v>
      </c>
      <c r="Q13" s="21">
        <f t="shared" si="3"/>
        <v>83.760249963871033</v>
      </c>
    </row>
    <row r="14" spans="1:17" ht="23.1" customHeight="1" x14ac:dyDescent="0.3">
      <c r="A14" s="24" t="s">
        <v>32</v>
      </c>
      <c r="B14" s="25">
        <v>14897</v>
      </c>
      <c r="C14" s="25">
        <v>30176.159000000112</v>
      </c>
      <c r="D14" s="24">
        <v>16119.726000000001</v>
      </c>
      <c r="E14" s="26">
        <v>2251104</v>
      </c>
      <c r="F14" s="25">
        <v>2345562.1809999999</v>
      </c>
      <c r="G14" s="25">
        <v>2694216.4360000002</v>
      </c>
      <c r="H14" s="27">
        <f t="shared" si="0"/>
        <v>87.059159377795424</v>
      </c>
      <c r="I14" s="28">
        <v>10854.092100000013</v>
      </c>
      <c r="J14" s="29">
        <v>708.06477000000007</v>
      </c>
      <c r="K14" s="27">
        <f t="shared" si="1"/>
        <v>11562.156870000013</v>
      </c>
      <c r="L14" s="28">
        <v>213962.00561600053</v>
      </c>
      <c r="M14" s="29">
        <v>13812.396781400004</v>
      </c>
      <c r="N14" s="29">
        <v>732.48313231999873</v>
      </c>
      <c r="O14" s="27">
        <f t="shared" si="2"/>
        <v>228506.88552972052</v>
      </c>
      <c r="P14" s="29">
        <v>254918.65007499958</v>
      </c>
      <c r="Q14" s="27">
        <f t="shared" si="3"/>
        <v>89.639139961902174</v>
      </c>
    </row>
    <row r="15" spans="1:17" ht="23.1" customHeight="1" x14ac:dyDescent="0.3">
      <c r="A15" s="31" t="s">
        <v>33</v>
      </c>
      <c r="B15" s="32">
        <v>17960</v>
      </c>
      <c r="C15" s="32">
        <v>36808.505000000019</v>
      </c>
      <c r="D15" s="33">
        <v>18855.671999999999</v>
      </c>
      <c r="E15" s="34">
        <v>2604182</v>
      </c>
      <c r="F15" s="32">
        <v>2756865.6490000002</v>
      </c>
      <c r="G15" s="32">
        <v>3293117.682</v>
      </c>
      <c r="H15" s="35">
        <f t="shared" si="0"/>
        <v>83.71597723545915</v>
      </c>
      <c r="I15" s="36">
        <v>13136.57140000001</v>
      </c>
      <c r="J15" s="37">
        <v>757.74806999999669</v>
      </c>
      <c r="K15" s="35">
        <f t="shared" si="1"/>
        <v>13894.319470000006</v>
      </c>
      <c r="L15" s="36">
        <v>249073.07732999997</v>
      </c>
      <c r="M15" s="37">
        <v>17026.314167400014</v>
      </c>
      <c r="N15" s="37">
        <v>767.46571850999635</v>
      </c>
      <c r="O15" s="35">
        <f t="shared" si="2"/>
        <v>266866.85721590999</v>
      </c>
      <c r="P15" s="23">
        <v>309319.12994999945</v>
      </c>
      <c r="Q15" s="21">
        <f t="shared" si="3"/>
        <v>86.275574762882684</v>
      </c>
    </row>
    <row r="16" spans="1:17" ht="23.1" customHeight="1" x14ac:dyDescent="0.3">
      <c r="A16" s="38" t="s">
        <v>34</v>
      </c>
      <c r="B16" s="39">
        <f t="shared" ref="B16:G16" si="4">SUM(B4:B15)</f>
        <v>129304</v>
      </c>
      <c r="C16" s="39">
        <f t="shared" si="4"/>
        <v>256045.52300000022</v>
      </c>
      <c r="D16" s="39">
        <f t="shared" si="4"/>
        <v>136300.88699999999</v>
      </c>
      <c r="E16" s="39">
        <f t="shared" si="4"/>
        <v>19441183</v>
      </c>
      <c r="F16" s="39">
        <f t="shared" si="4"/>
        <v>19600901.172000002</v>
      </c>
      <c r="G16" s="39">
        <f t="shared" si="4"/>
        <v>23215630.721999999</v>
      </c>
      <c r="H16" s="40">
        <f t="shared" si="0"/>
        <v>84.429759444034644</v>
      </c>
      <c r="I16" s="40">
        <f>SUM(I4:I15)</f>
        <v>109468.19150000002</v>
      </c>
      <c r="J16" s="40">
        <f>SUM(J4:J15)</f>
        <v>5397.3788279738746</v>
      </c>
      <c r="K16" s="40">
        <f t="shared" si="1"/>
        <v>114865.5703279739</v>
      </c>
      <c r="L16" s="40">
        <f>SUM(L4:L15)</f>
        <v>1849859.0650970004</v>
      </c>
      <c r="M16" s="40">
        <f>SUM(M4:M15)</f>
        <v>138598.25415920003</v>
      </c>
      <c r="N16" s="40">
        <f>SUM(N4:N15)</f>
        <v>5629.0023892736881</v>
      </c>
      <c r="O16" s="40">
        <f t="shared" si="2"/>
        <v>1994086.3216454741</v>
      </c>
      <c r="P16" s="41">
        <f>SUM(P4:P15)</f>
        <v>2363233.7812509988</v>
      </c>
      <c r="Q16" s="41">
        <f t="shared" si="3"/>
        <v>84.379562338089414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4162</v>
      </c>
      <c r="C23" s="58">
        <v>27505.033333333329</v>
      </c>
      <c r="D23" s="59">
        <v>20173.116000000002</v>
      </c>
      <c r="E23" s="57">
        <v>800640</v>
      </c>
      <c r="F23" s="58">
        <v>4506164.5839999998</v>
      </c>
      <c r="G23" s="58">
        <v>5032369.7939999998</v>
      </c>
      <c r="H23" s="60">
        <f t="shared" ref="H23:H35" si="5">IFERROR(F23/G23*100," ")</f>
        <v>89.543590166458259</v>
      </c>
      <c r="I23" s="61">
        <v>10800.316799999999</v>
      </c>
      <c r="J23" s="61">
        <v>307.22793439056375</v>
      </c>
      <c r="K23" s="61">
        <f>IF(AND(ISBLANK(I23),ISBLANK(J23))=TRUE,"",I23+J23)</f>
        <v>11107.544734390562</v>
      </c>
      <c r="L23" s="62">
        <v>470562.06672800006</v>
      </c>
      <c r="M23" s="61">
        <v>69362.97857419998</v>
      </c>
      <c r="N23" s="61">
        <v>2425.8691911466858</v>
      </c>
      <c r="O23" s="63">
        <f>IF(AND(ISBLANK(L23),ISBLANK(M23),ISBLANK(N23))=TRUE,"",L23+M23+N23)</f>
        <v>542350.9144933467</v>
      </c>
      <c r="P23" s="62">
        <v>724552.43582399958</v>
      </c>
      <c r="Q23" s="63">
        <f>IFERROR(O23/P23*100," ")</f>
        <v>74.853231826700906</v>
      </c>
    </row>
    <row r="24" spans="1:17" ht="23.1" customHeight="1" x14ac:dyDescent="0.3">
      <c r="A24" s="64" t="s">
        <v>23</v>
      </c>
      <c r="B24" s="65">
        <v>3909</v>
      </c>
      <c r="C24" s="64">
        <v>25853.666666666682</v>
      </c>
      <c r="D24" s="66">
        <v>18919.651000000002</v>
      </c>
      <c r="E24" s="65">
        <v>757419</v>
      </c>
      <c r="F24" s="64">
        <v>4268622.5559999999</v>
      </c>
      <c r="G24" s="64">
        <v>4756505.5319999997</v>
      </c>
      <c r="H24" s="67">
        <f t="shared" si="5"/>
        <v>89.742827529208057</v>
      </c>
      <c r="I24" s="68">
        <v>12208.689900000005</v>
      </c>
      <c r="J24" s="68">
        <v>273.02511074465673</v>
      </c>
      <c r="K24" s="68">
        <f t="shared" ref="K24:K35" si="6">IF(AND(ISBLANK(I24),ISBLANK(J24))=TRUE,"",I24+J24)</f>
        <v>12481.715010744661</v>
      </c>
      <c r="L24" s="69">
        <v>446308.97118699987</v>
      </c>
      <c r="M24" s="68">
        <v>82470.070126600054</v>
      </c>
      <c r="N24" s="68">
        <v>2087.7845854279826</v>
      </c>
      <c r="O24" s="67">
        <f t="shared" ref="O24:O35" si="7">IF(AND(ISBLANK(L24),ISBLANK(M24),ISBLANK(N24))=TRUE,"",L24+M24+N24)</f>
        <v>530866.82589902787</v>
      </c>
      <c r="P24" s="69">
        <v>688636.45241999906</v>
      </c>
      <c r="Q24" s="67">
        <f t="shared" ref="Q24:Q35" si="8">IFERROR(O24/P24*100," ")</f>
        <v>77.089562138841359</v>
      </c>
    </row>
    <row r="25" spans="1:17" ht="23.1" customHeight="1" x14ac:dyDescent="0.3">
      <c r="A25" s="56" t="s">
        <v>24</v>
      </c>
      <c r="B25" s="70">
        <v>4077</v>
      </c>
      <c r="C25" s="56">
        <v>27082.716666666638</v>
      </c>
      <c r="D25" s="71">
        <v>19966.883000000002</v>
      </c>
      <c r="E25" s="70">
        <v>785383</v>
      </c>
      <c r="F25" s="56">
        <v>4477650.0999999996</v>
      </c>
      <c r="G25" s="56">
        <v>5058825.0920000002</v>
      </c>
      <c r="H25" s="60">
        <f t="shared" si="5"/>
        <v>88.511660683444703</v>
      </c>
      <c r="I25" s="72">
        <v>13720.013399999998</v>
      </c>
      <c r="J25" s="72">
        <v>261.62224851176285</v>
      </c>
      <c r="K25" s="72">
        <f t="shared" si="6"/>
        <v>13981.635648511761</v>
      </c>
      <c r="L25" s="73">
        <v>468844.07709300047</v>
      </c>
      <c r="M25" s="72">
        <v>89715.133872799954</v>
      </c>
      <c r="N25" s="72">
        <v>2301.7786609387449</v>
      </c>
      <c r="O25" s="60">
        <f t="shared" si="7"/>
        <v>560860.98962673917</v>
      </c>
      <c r="P25" s="73">
        <v>734395.48529599537</v>
      </c>
      <c r="Q25" s="60">
        <f t="shared" si="8"/>
        <v>76.370429946296071</v>
      </c>
    </row>
    <row r="26" spans="1:17" ht="23.1" customHeight="1" x14ac:dyDescent="0.3">
      <c r="A26" s="64" t="s">
        <v>25</v>
      </c>
      <c r="B26" s="65">
        <v>3679</v>
      </c>
      <c r="C26" s="64">
        <v>24879.66299999999</v>
      </c>
      <c r="D26" s="66">
        <v>18676.974999999999</v>
      </c>
      <c r="E26" s="65">
        <v>704990</v>
      </c>
      <c r="F26" s="64">
        <v>4025344.0559999999</v>
      </c>
      <c r="G26" s="64">
        <v>4673174.4019999998</v>
      </c>
      <c r="H26" s="67">
        <f t="shared" si="5"/>
        <v>86.137252961867944</v>
      </c>
      <c r="I26" s="68">
        <v>11756.259499999993</v>
      </c>
      <c r="J26" s="68">
        <v>218.16011872500005</v>
      </c>
      <c r="K26" s="68">
        <f t="shared" si="6"/>
        <v>11974.419618724993</v>
      </c>
      <c r="L26" s="69">
        <v>402534.40560000105</v>
      </c>
      <c r="M26" s="68">
        <v>76826.422077300027</v>
      </c>
      <c r="N26" s="68">
        <v>1896.8678460259803</v>
      </c>
      <c r="O26" s="67">
        <f t="shared" si="7"/>
        <v>481257.69552332704</v>
      </c>
      <c r="P26" s="69">
        <v>688064.54399999999</v>
      </c>
      <c r="Q26" s="67">
        <f t="shared" si="8"/>
        <v>69.943684748756212</v>
      </c>
    </row>
    <row r="27" spans="1:17" s="30" customFormat="1" ht="30" customHeight="1" x14ac:dyDescent="0.25">
      <c r="A27" s="56" t="s">
        <v>26</v>
      </c>
      <c r="B27" s="70">
        <v>3781</v>
      </c>
      <c r="C27" s="56">
        <v>25855.518000000004</v>
      </c>
      <c r="D27" s="71">
        <v>19344.928</v>
      </c>
      <c r="E27" s="70">
        <v>736369</v>
      </c>
      <c r="F27" s="56">
        <v>4322613.2580000004</v>
      </c>
      <c r="G27" s="56">
        <v>5002291.75</v>
      </c>
      <c r="H27" s="60">
        <f t="shared" si="5"/>
        <v>86.412657918243184</v>
      </c>
      <c r="I27" s="72">
        <v>12455.949399999996</v>
      </c>
      <c r="J27" s="72">
        <v>205.77047053975977</v>
      </c>
      <c r="K27" s="72">
        <f t="shared" si="6"/>
        <v>12661.719870539755</v>
      </c>
      <c r="L27" s="73">
        <v>432263.34900000005</v>
      </c>
      <c r="M27" s="72">
        <v>80119.001577399962</v>
      </c>
      <c r="N27" s="72">
        <v>1762.707046339229</v>
      </c>
      <c r="O27" s="60">
        <f t="shared" si="7"/>
        <v>514145.05762373924</v>
      </c>
      <c r="P27" s="73">
        <v>741346.12399999995</v>
      </c>
      <c r="Q27" s="60">
        <f t="shared" si="8"/>
        <v>69.352902912559003</v>
      </c>
    </row>
    <row r="28" spans="1:17" ht="23.1" customHeight="1" x14ac:dyDescent="0.3">
      <c r="A28" s="64" t="s">
        <v>27</v>
      </c>
      <c r="B28" s="65">
        <v>3810</v>
      </c>
      <c r="C28" s="64">
        <v>26010.279000000006</v>
      </c>
      <c r="D28" s="66">
        <v>19256.760999999999</v>
      </c>
      <c r="E28" s="65">
        <v>734493</v>
      </c>
      <c r="F28" s="64">
        <v>4326254.0250000004</v>
      </c>
      <c r="G28" s="64">
        <v>4959144.5420000004</v>
      </c>
      <c r="H28" s="67">
        <f t="shared" si="5"/>
        <v>87.23790944910111</v>
      </c>
      <c r="I28" s="68">
        <v>13148.904200000004</v>
      </c>
      <c r="J28" s="68">
        <v>202.78233067994375</v>
      </c>
      <c r="K28" s="68">
        <f t="shared" si="6"/>
        <v>13351.686530679948</v>
      </c>
      <c r="L28" s="69">
        <v>432625.40250000067</v>
      </c>
      <c r="M28" s="68">
        <v>83111.731370799956</v>
      </c>
      <c r="N28" s="68">
        <v>1621.2878189738144</v>
      </c>
      <c r="O28" s="67">
        <f t="shared" si="7"/>
        <v>517358.42168977443</v>
      </c>
      <c r="P28" s="69">
        <v>685592.26628000103</v>
      </c>
      <c r="Q28" s="67">
        <f t="shared" si="8"/>
        <v>75.461531165884153</v>
      </c>
    </row>
    <row r="29" spans="1:17" ht="23.1" customHeight="1" x14ac:dyDescent="0.3">
      <c r="A29" s="56" t="s">
        <v>28</v>
      </c>
      <c r="B29" s="70">
        <v>3833</v>
      </c>
      <c r="C29" s="56">
        <v>26676.280000000013</v>
      </c>
      <c r="D29" s="71">
        <v>19740.137999999999</v>
      </c>
      <c r="E29" s="70">
        <v>721257</v>
      </c>
      <c r="F29" s="56">
        <v>4336794.426</v>
      </c>
      <c r="G29" s="56">
        <v>5114501.0820000004</v>
      </c>
      <c r="H29" s="60">
        <f t="shared" si="5"/>
        <v>84.794085610088828</v>
      </c>
      <c r="I29" s="72">
        <v>13002.543299999999</v>
      </c>
      <c r="J29" s="72">
        <v>142.86239788671674</v>
      </c>
      <c r="K29" s="72">
        <f t="shared" si="6"/>
        <v>13145.405697886716</v>
      </c>
      <c r="L29" s="73">
        <v>433679.44259999954</v>
      </c>
      <c r="M29" s="72">
        <v>82985.097280200236</v>
      </c>
      <c r="N29" s="72">
        <v>1035.4245457066554</v>
      </c>
      <c r="O29" s="60">
        <f t="shared" si="7"/>
        <v>517699.96442590642</v>
      </c>
      <c r="P29" s="73">
        <v>686486.13070000114</v>
      </c>
      <c r="Q29" s="60">
        <f t="shared" si="8"/>
        <v>75.413026028364825</v>
      </c>
    </row>
    <row r="30" spans="1:17" ht="23.1" customHeight="1" x14ac:dyDescent="0.3">
      <c r="A30" s="64" t="s">
        <v>29</v>
      </c>
      <c r="B30" s="65">
        <v>3831</v>
      </c>
      <c r="C30" s="64">
        <v>26611.593000000015</v>
      </c>
      <c r="D30" s="66">
        <v>19655.875</v>
      </c>
      <c r="E30" s="65">
        <v>732711</v>
      </c>
      <c r="F30" s="64">
        <v>4373437.6960000005</v>
      </c>
      <c r="G30" s="64">
        <v>5076400.8499999996</v>
      </c>
      <c r="H30" s="67">
        <f t="shared" si="5"/>
        <v>86.15233164654444</v>
      </c>
      <c r="I30" s="68">
        <v>13044.105199999995</v>
      </c>
      <c r="J30" s="68">
        <v>139.33359342981399</v>
      </c>
      <c r="K30" s="68">
        <f t="shared" si="6"/>
        <v>13183.438793429808</v>
      </c>
      <c r="L30" s="69">
        <v>437343.76960000064</v>
      </c>
      <c r="M30" s="68">
        <v>82220.668457700129</v>
      </c>
      <c r="N30" s="68">
        <v>995.54920543414823</v>
      </c>
      <c r="O30" s="67">
        <f t="shared" si="7"/>
        <v>520559.98726313491</v>
      </c>
      <c r="P30" s="69">
        <v>696180.87170999916</v>
      </c>
      <c r="Q30" s="67">
        <f t="shared" si="8"/>
        <v>74.773669949377634</v>
      </c>
    </row>
    <row r="31" spans="1:17" ht="23.1" customHeight="1" x14ac:dyDescent="0.3">
      <c r="A31" s="56" t="s">
        <v>30</v>
      </c>
      <c r="B31" s="70">
        <v>3827</v>
      </c>
      <c r="C31" s="56">
        <v>26939.734999999986</v>
      </c>
      <c r="D31" s="71">
        <v>19902.858</v>
      </c>
      <c r="E31" s="70">
        <v>728690</v>
      </c>
      <c r="F31" s="56">
        <v>4427283.5010000002</v>
      </c>
      <c r="G31" s="56">
        <v>5172510.49</v>
      </c>
      <c r="H31" s="60">
        <f t="shared" si="5"/>
        <v>85.592547556148119</v>
      </c>
      <c r="I31" s="72">
        <v>12365.001099999999</v>
      </c>
      <c r="J31" s="72">
        <v>148.53373626598565</v>
      </c>
      <c r="K31" s="72">
        <f t="shared" si="6"/>
        <v>12513.534836265984</v>
      </c>
      <c r="L31" s="73">
        <v>483121.31213000114</v>
      </c>
      <c r="M31" s="72">
        <v>79846.289979699985</v>
      </c>
      <c r="N31" s="72">
        <v>1146.0542457798226</v>
      </c>
      <c r="O31" s="60">
        <f t="shared" si="7"/>
        <v>564113.65635548101</v>
      </c>
      <c r="P31" s="73">
        <v>634756.48859999923</v>
      </c>
      <c r="Q31" s="60">
        <f t="shared" si="8"/>
        <v>88.870876704178954</v>
      </c>
    </row>
    <row r="32" spans="1:17" ht="23.1" customHeight="1" x14ac:dyDescent="0.3">
      <c r="A32" s="64" t="s">
        <v>31</v>
      </c>
      <c r="B32" s="65">
        <v>3924</v>
      </c>
      <c r="C32" s="64">
        <v>27780.996999999963</v>
      </c>
      <c r="D32" s="66">
        <v>20608.964</v>
      </c>
      <c r="E32" s="65">
        <v>722620</v>
      </c>
      <c r="F32" s="64">
        <v>4353171.1150000002</v>
      </c>
      <c r="G32" s="64">
        <v>5344295.8940000003</v>
      </c>
      <c r="H32" s="67">
        <f t="shared" si="5"/>
        <v>81.454530238254051</v>
      </c>
      <c r="I32" s="68">
        <v>13866.696200000009</v>
      </c>
      <c r="J32" s="68">
        <v>197.14665998390944</v>
      </c>
      <c r="K32" s="68">
        <f t="shared" si="6"/>
        <v>14063.842859983919</v>
      </c>
      <c r="L32" s="69">
        <v>471701.42151999992</v>
      </c>
      <c r="M32" s="68">
        <v>91865.587045200038</v>
      </c>
      <c r="N32" s="68">
        <v>1546.5861551441481</v>
      </c>
      <c r="O32" s="67">
        <f t="shared" si="7"/>
        <v>565113.59472034406</v>
      </c>
      <c r="P32" s="69">
        <v>654436.42670999852</v>
      </c>
      <c r="Q32" s="67">
        <f t="shared" si="8"/>
        <v>86.3511827361596</v>
      </c>
    </row>
    <row r="33" spans="1:17" ht="23.1" customHeight="1" x14ac:dyDescent="0.3">
      <c r="A33" s="56" t="s">
        <v>32</v>
      </c>
      <c r="B33" s="70">
        <v>4532</v>
      </c>
      <c r="C33" s="56">
        <v>30700.348000000067</v>
      </c>
      <c r="D33" s="71">
        <v>22486.845000000001</v>
      </c>
      <c r="E33" s="70">
        <v>853492</v>
      </c>
      <c r="F33" s="56">
        <v>4900736.608</v>
      </c>
      <c r="G33" s="56">
        <v>5747351.199</v>
      </c>
      <c r="H33" s="60">
        <f t="shared" si="5"/>
        <v>85.26948220691115</v>
      </c>
      <c r="I33" s="72">
        <v>13028.023099999999</v>
      </c>
      <c r="J33" s="72">
        <v>160.67413441930205</v>
      </c>
      <c r="K33" s="72">
        <f t="shared" si="6"/>
        <v>13188.6972344193</v>
      </c>
      <c r="L33" s="73">
        <v>530595.53738600132</v>
      </c>
      <c r="M33" s="72">
        <v>84984.221919199903</v>
      </c>
      <c r="N33" s="72">
        <v>1277.0218802655145</v>
      </c>
      <c r="O33" s="60">
        <f t="shared" si="7"/>
        <v>616856.7811854668</v>
      </c>
      <c r="P33" s="73">
        <v>695836.26556199905</v>
      </c>
      <c r="Q33" s="60">
        <f t="shared" si="8"/>
        <v>88.649702769840005</v>
      </c>
    </row>
    <row r="34" spans="1:17" ht="23.1" customHeight="1" x14ac:dyDescent="0.3">
      <c r="A34" s="64" t="s">
        <v>33</v>
      </c>
      <c r="B34" s="74">
        <v>5289</v>
      </c>
      <c r="C34" s="75">
        <v>35172.155999999937</v>
      </c>
      <c r="D34" s="76">
        <v>25598.541000000001</v>
      </c>
      <c r="E34" s="74">
        <v>986779</v>
      </c>
      <c r="F34" s="75">
        <v>5469288.2300000004</v>
      </c>
      <c r="G34" s="75">
        <v>6487543.8490000004</v>
      </c>
      <c r="H34" s="67">
        <f t="shared" si="5"/>
        <v>84.304451072697489</v>
      </c>
      <c r="I34" s="77">
        <v>15147.314700000012</v>
      </c>
      <c r="J34" s="77">
        <v>221.00565243357576</v>
      </c>
      <c r="K34" s="77">
        <f t="shared" si="6"/>
        <v>15368.320352433588</v>
      </c>
      <c r="L34" s="78">
        <v>583183.05161000055</v>
      </c>
      <c r="M34" s="77">
        <v>98081.913027799921</v>
      </c>
      <c r="N34" s="77">
        <v>1676.0180647082502</v>
      </c>
      <c r="O34" s="79">
        <f t="shared" si="7"/>
        <v>682940.98270250869</v>
      </c>
      <c r="P34" s="78">
        <v>772473.65574999922</v>
      </c>
      <c r="Q34" s="79">
        <f t="shared" si="8"/>
        <v>88.409614699343663</v>
      </c>
    </row>
    <row r="35" spans="1:17" ht="23.1" customHeight="1" x14ac:dyDescent="0.3">
      <c r="A35" s="80" t="s">
        <v>34</v>
      </c>
      <c r="B35" s="81">
        <f t="shared" ref="B35:G35" si="9">SUM(B23:B34)</f>
        <v>48654</v>
      </c>
      <c r="C35" s="81">
        <f t="shared" si="9"/>
        <v>331067.98566666665</v>
      </c>
      <c r="D35" s="81">
        <f t="shared" si="9"/>
        <v>244331.535</v>
      </c>
      <c r="E35" s="81">
        <f t="shared" si="9"/>
        <v>9264843</v>
      </c>
      <c r="F35" s="81">
        <f t="shared" si="9"/>
        <v>53787360.155000016</v>
      </c>
      <c r="G35" s="81">
        <f t="shared" si="9"/>
        <v>62424914.476000004</v>
      </c>
      <c r="H35" s="82">
        <f t="shared" si="5"/>
        <v>86.163290100588284</v>
      </c>
      <c r="I35" s="83">
        <f>SUM(I23:I34)</f>
        <v>154543.8168</v>
      </c>
      <c r="J35" s="83">
        <f>SUM(J23:J34)</f>
        <v>2478.1443880109905</v>
      </c>
      <c r="K35" s="83">
        <f t="shared" si="6"/>
        <v>157021.96118801099</v>
      </c>
      <c r="L35" s="83">
        <f>SUM(L23:L34)</f>
        <v>5592762.8069540057</v>
      </c>
      <c r="M35" s="83">
        <f>SUM(M23:M34)</f>
        <v>1001589.1153089002</v>
      </c>
      <c r="N35" s="83">
        <f>SUM(N23:N34)</f>
        <v>19772.949245890974</v>
      </c>
      <c r="O35" s="83">
        <f t="shared" si="7"/>
        <v>6614124.8715087967</v>
      </c>
      <c r="P35" s="83">
        <f>SUM(P23:P34)</f>
        <v>8402757.1468519922</v>
      </c>
      <c r="Q35" s="83">
        <f t="shared" si="8"/>
        <v>78.713745451833177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98</v>
      </c>
      <c r="C42" s="94">
        <v>145.6</v>
      </c>
      <c r="D42" s="95">
        <v>60.125999999999998</v>
      </c>
      <c r="E42" s="93">
        <v>13099</v>
      </c>
      <c r="F42" s="94">
        <v>7447.241</v>
      </c>
      <c r="G42" s="94">
        <v>9725.0280000000002</v>
      </c>
      <c r="H42" s="96">
        <f t="shared" ref="H42:H54" si="10">IFERROR(F42/G42*100," ")</f>
        <v>76.57809314276524</v>
      </c>
      <c r="I42" s="97"/>
      <c r="J42" s="98"/>
      <c r="K42" s="96" t="str">
        <f>IF(AND(ISBLANK(I42),ISBLANK(J42))=TRUE,"",I42+J42)</f>
        <v/>
      </c>
      <c r="L42" s="97">
        <v>558.54307499999993</v>
      </c>
      <c r="M42" s="98">
        <v>0</v>
      </c>
      <c r="N42" s="98">
        <v>0</v>
      </c>
      <c r="O42" s="96">
        <f>IF(AND(ISBLANK(L42),ISBLANK(M42),ISBLANK(N42))=TRUE,"",L42+M42+N42)</f>
        <v>558.54307499999993</v>
      </c>
      <c r="P42" s="97">
        <v>942.93600000000004</v>
      </c>
      <c r="Q42" s="96">
        <f>IFERROR(O42/P42*100," ")</f>
        <v>59.234462890376427</v>
      </c>
    </row>
    <row r="43" spans="1:17" ht="25.5" customHeight="1" x14ac:dyDescent="0.3">
      <c r="A43" s="99" t="s">
        <v>23</v>
      </c>
      <c r="B43" s="100">
        <v>103</v>
      </c>
      <c r="C43" s="101">
        <v>145.28299999999999</v>
      </c>
      <c r="D43" s="102">
        <v>58.945</v>
      </c>
      <c r="E43" s="100">
        <v>15055</v>
      </c>
      <c r="F43" s="101">
        <v>8667.7189999999991</v>
      </c>
      <c r="G43" s="101">
        <v>9523.6859999999997</v>
      </c>
      <c r="H43" s="103">
        <f t="shared" si="10"/>
        <v>91.012229928622162</v>
      </c>
      <c r="I43" s="104">
        <v>0.1</v>
      </c>
      <c r="J43" s="105"/>
      <c r="K43" s="103">
        <f t="shared" ref="K43:K54" si="11">IF(AND(ISBLANK(I43),ISBLANK(J43))=TRUE,"",I43+J43)</f>
        <v>0.1</v>
      </c>
      <c r="L43" s="104">
        <v>650.07892500000003</v>
      </c>
      <c r="M43" s="105">
        <v>6.2E-2</v>
      </c>
      <c r="N43" s="105">
        <v>0</v>
      </c>
      <c r="O43" s="103">
        <f t="shared" ref="O43:O54" si="12">IF(AND(ISBLANK(L43),ISBLANK(M43),ISBLANK(N43))=TRUE,"",L43+M43+N43)</f>
        <v>650.14092500000004</v>
      </c>
      <c r="P43" s="104">
        <v>933.31500000000005</v>
      </c>
      <c r="Q43" s="103">
        <f t="shared" ref="Q43:Q54" si="13">IFERROR(O43/P43*100," ")</f>
        <v>69.659324558160961</v>
      </c>
    </row>
    <row r="44" spans="1:17" ht="25.5" customHeight="1" x14ac:dyDescent="0.3">
      <c r="A44" s="92" t="s">
        <v>24</v>
      </c>
      <c r="B44" s="106">
        <v>213</v>
      </c>
      <c r="C44" s="107">
        <v>365.46600000000018</v>
      </c>
      <c r="D44" s="108">
        <v>265.46699999999998</v>
      </c>
      <c r="E44" s="106">
        <v>25531</v>
      </c>
      <c r="F44" s="107">
        <v>20736.29</v>
      </c>
      <c r="G44" s="107">
        <v>30340.754000000001</v>
      </c>
      <c r="H44" s="109">
        <f t="shared" si="10"/>
        <v>68.344675943122581</v>
      </c>
      <c r="I44" s="110">
        <v>23.013000000000002</v>
      </c>
      <c r="J44" s="111"/>
      <c r="K44" s="109">
        <f t="shared" si="11"/>
        <v>23.013000000000002</v>
      </c>
      <c r="L44" s="110">
        <v>1555.2217500000002</v>
      </c>
      <c r="M44" s="111">
        <v>30.312000000000001</v>
      </c>
      <c r="N44" s="111">
        <v>0</v>
      </c>
      <c r="O44" s="109">
        <f t="shared" si="12"/>
        <v>1585.5337500000001</v>
      </c>
      <c r="P44" s="110">
        <v>3426.5929999999998</v>
      </c>
      <c r="Q44" s="109">
        <f t="shared" si="13"/>
        <v>46.271434920925827</v>
      </c>
    </row>
    <row r="45" spans="1:17" ht="25.5" customHeight="1" x14ac:dyDescent="0.3">
      <c r="A45" s="99" t="s">
        <v>25</v>
      </c>
      <c r="B45" s="100">
        <v>167</v>
      </c>
      <c r="C45" s="112">
        <v>275.0800000000001</v>
      </c>
      <c r="D45" s="102">
        <v>158.74199999999999</v>
      </c>
      <c r="E45" s="100">
        <v>20178</v>
      </c>
      <c r="F45" s="101">
        <v>14374.565000000001</v>
      </c>
      <c r="G45" s="101">
        <v>20526.400000000001</v>
      </c>
      <c r="H45" s="103">
        <f t="shared" si="10"/>
        <v>70.029644750175379</v>
      </c>
      <c r="I45" s="104">
        <v>10.238</v>
      </c>
      <c r="J45" s="105"/>
      <c r="K45" s="103">
        <f t="shared" si="11"/>
        <v>10.238</v>
      </c>
      <c r="L45" s="104">
        <v>2058.2404999999999</v>
      </c>
      <c r="M45" s="105">
        <v>14.832966000000001</v>
      </c>
      <c r="N45" s="105">
        <v>0</v>
      </c>
      <c r="O45" s="103">
        <f t="shared" si="12"/>
        <v>2073.0734659999998</v>
      </c>
      <c r="P45" s="104">
        <v>2907.2069999999999</v>
      </c>
      <c r="Q45" s="103">
        <f t="shared" si="13"/>
        <v>71.308079060073808</v>
      </c>
    </row>
    <row r="46" spans="1:17" ht="25.5" customHeight="1" x14ac:dyDescent="0.3">
      <c r="A46" s="92" t="s">
        <v>26</v>
      </c>
      <c r="B46" s="106">
        <v>433</v>
      </c>
      <c r="C46" s="113">
        <v>757.84600000000023</v>
      </c>
      <c r="D46" s="108">
        <v>480.42</v>
      </c>
      <c r="E46" s="106">
        <v>46699</v>
      </c>
      <c r="F46" s="107">
        <v>39634.582000000002</v>
      </c>
      <c r="G46" s="107">
        <v>62005.341999999997</v>
      </c>
      <c r="H46" s="109">
        <f t="shared" si="10"/>
        <v>63.921237624977543</v>
      </c>
      <c r="I46" s="110">
        <v>38.0199</v>
      </c>
      <c r="J46" s="111">
        <v>0</v>
      </c>
      <c r="K46" s="109">
        <f t="shared" si="11"/>
        <v>38.0199</v>
      </c>
      <c r="L46" s="110">
        <v>3963.4581999999987</v>
      </c>
      <c r="M46" s="111">
        <v>48.513575100000004</v>
      </c>
      <c r="N46" s="111">
        <v>0</v>
      </c>
      <c r="O46" s="109">
        <f t="shared" si="12"/>
        <v>4011.9717750999985</v>
      </c>
      <c r="P46" s="110">
        <v>7543.442</v>
      </c>
      <c r="Q46" s="109">
        <f t="shared" si="13"/>
        <v>53.18489590163216</v>
      </c>
    </row>
    <row r="47" spans="1:17" ht="25.5" customHeight="1" x14ac:dyDescent="0.3">
      <c r="A47" s="99" t="s">
        <v>27</v>
      </c>
      <c r="B47" s="114">
        <v>266</v>
      </c>
      <c r="C47" s="115">
        <v>388.19399999999996</v>
      </c>
      <c r="D47" s="102">
        <v>200.16300000000001</v>
      </c>
      <c r="E47" s="114">
        <v>33684</v>
      </c>
      <c r="F47" s="115">
        <v>22057.54</v>
      </c>
      <c r="G47" s="115">
        <v>28400.376</v>
      </c>
      <c r="H47" s="103">
        <f t="shared" si="10"/>
        <v>77.666366107265631</v>
      </c>
      <c r="I47" s="116">
        <v>2.84</v>
      </c>
      <c r="J47" s="117">
        <v>0</v>
      </c>
      <c r="K47" s="103">
        <f t="shared" si="11"/>
        <v>2.84</v>
      </c>
      <c r="L47" s="116">
        <v>2205.7540000000008</v>
      </c>
      <c r="M47" s="117">
        <v>2.4314019999999998</v>
      </c>
      <c r="N47" s="117"/>
      <c r="O47" s="103">
        <f t="shared" si="12"/>
        <v>2208.185402000001</v>
      </c>
      <c r="P47" s="116">
        <v>2599.4039800000005</v>
      </c>
      <c r="Q47" s="103">
        <f t="shared" si="13"/>
        <v>84.949681503526847</v>
      </c>
    </row>
    <row r="48" spans="1:17" s="125" customFormat="1" ht="25.5" customHeight="1" x14ac:dyDescent="0.3">
      <c r="A48" s="118" t="s">
        <v>28</v>
      </c>
      <c r="B48" s="119">
        <v>240</v>
      </c>
      <c r="C48" s="120">
        <v>344.92199999999997</v>
      </c>
      <c r="D48" s="121">
        <v>160.512</v>
      </c>
      <c r="E48" s="119">
        <v>29973</v>
      </c>
      <c r="F48" s="120">
        <v>16883.669000000002</v>
      </c>
      <c r="G48" s="120">
        <v>23069.894</v>
      </c>
      <c r="H48" s="122">
        <f t="shared" si="10"/>
        <v>73.184857286297031</v>
      </c>
      <c r="I48" s="123">
        <v>0.33900000000000002</v>
      </c>
      <c r="J48" s="124"/>
      <c r="K48" s="122">
        <f t="shared" si="11"/>
        <v>0.33900000000000002</v>
      </c>
      <c r="L48" s="123">
        <v>1688.3669000000002</v>
      </c>
      <c r="M48" s="124">
        <v>0.65905800000000003</v>
      </c>
      <c r="N48" s="124"/>
      <c r="O48" s="122">
        <f t="shared" si="12"/>
        <v>1689.0259580000002</v>
      </c>
      <c r="P48" s="123">
        <v>1958.9667400000003</v>
      </c>
      <c r="Q48" s="122">
        <f t="shared" si="13"/>
        <v>86.220246802148353</v>
      </c>
    </row>
    <row r="49" spans="1:17" ht="25.5" customHeight="1" x14ac:dyDescent="0.3">
      <c r="A49" s="99" t="s">
        <v>29</v>
      </c>
      <c r="B49" s="114">
        <v>213</v>
      </c>
      <c r="C49" s="115">
        <v>303.12999999999988</v>
      </c>
      <c r="D49" s="126">
        <v>133.15299999999999</v>
      </c>
      <c r="E49" s="114">
        <v>28087</v>
      </c>
      <c r="F49" s="115">
        <v>15747.172</v>
      </c>
      <c r="G49" s="115">
        <v>20737.752</v>
      </c>
      <c r="H49" s="103">
        <f t="shared" si="10"/>
        <v>75.934807205718343</v>
      </c>
      <c r="I49" s="116">
        <v>3.9547999999999996</v>
      </c>
      <c r="J49" s="117"/>
      <c r="K49" s="103">
        <f t="shared" si="11"/>
        <v>3.9547999999999996</v>
      </c>
      <c r="L49" s="116">
        <v>1574.7172000000003</v>
      </c>
      <c r="M49" s="117">
        <v>3.2584762999999999</v>
      </c>
      <c r="N49" s="117"/>
      <c r="O49" s="103">
        <f t="shared" si="12"/>
        <v>1577.9756763000003</v>
      </c>
      <c r="P49" s="116">
        <v>1842.0901399999993</v>
      </c>
      <c r="Q49" s="103">
        <f t="shared" si="13"/>
        <v>85.662239975943891</v>
      </c>
    </row>
    <row r="50" spans="1:17" ht="25.5" customHeight="1" x14ac:dyDescent="0.3">
      <c r="A50" s="92" t="s">
        <v>30</v>
      </c>
      <c r="B50" s="127">
        <v>201</v>
      </c>
      <c r="C50" s="128">
        <v>294.39900000000006</v>
      </c>
      <c r="D50" s="129">
        <v>129.03700000000001</v>
      </c>
      <c r="E50" s="127">
        <v>26294</v>
      </c>
      <c r="F50" s="128">
        <v>16327.071</v>
      </c>
      <c r="G50" s="128">
        <v>20142.083999999999</v>
      </c>
      <c r="H50" s="109">
        <f t="shared" si="10"/>
        <v>81.05949215582659</v>
      </c>
      <c r="I50" s="130">
        <v>6.5730000000000004</v>
      </c>
      <c r="J50" s="131"/>
      <c r="K50" s="109">
        <f t="shared" si="11"/>
        <v>6.5730000000000004</v>
      </c>
      <c r="L50" s="130">
        <v>1538.9269000000008</v>
      </c>
      <c r="M50" s="131">
        <v>10.196522999999999</v>
      </c>
      <c r="N50" s="131"/>
      <c r="O50" s="109">
        <f t="shared" si="12"/>
        <v>1549.1234230000009</v>
      </c>
      <c r="P50" s="130">
        <v>1849.0008599999996</v>
      </c>
      <c r="Q50" s="109">
        <f t="shared" si="13"/>
        <v>83.781649674300368</v>
      </c>
    </row>
    <row r="51" spans="1:17" ht="25.5" customHeight="1" x14ac:dyDescent="0.3">
      <c r="A51" s="99" t="s">
        <v>31</v>
      </c>
      <c r="B51" s="114">
        <v>220</v>
      </c>
      <c r="C51" s="115">
        <v>311.41399999999993</v>
      </c>
      <c r="D51" s="126">
        <v>140.154</v>
      </c>
      <c r="E51" s="114">
        <v>8313</v>
      </c>
      <c r="F51" s="115">
        <v>6293.0060000000003</v>
      </c>
      <c r="G51" s="115">
        <v>22183.71</v>
      </c>
      <c r="H51" s="103">
        <f t="shared" si="10"/>
        <v>28.36768962450375</v>
      </c>
      <c r="I51" s="116">
        <v>5.3630000000000004</v>
      </c>
      <c r="J51" s="117"/>
      <c r="K51" s="103">
        <f t="shared" si="11"/>
        <v>5.3630000000000004</v>
      </c>
      <c r="L51" s="116">
        <v>762.09563000000003</v>
      </c>
      <c r="M51" s="117">
        <v>7.5502399999999996</v>
      </c>
      <c r="N51" s="117"/>
      <c r="O51" s="103">
        <f t="shared" si="12"/>
        <v>769.64587000000006</v>
      </c>
      <c r="P51" s="116">
        <v>1995.2413299999998</v>
      </c>
      <c r="Q51" s="103">
        <f t="shared" si="13"/>
        <v>38.574074144705101</v>
      </c>
    </row>
    <row r="52" spans="1:17" ht="25.5" customHeight="1" x14ac:dyDescent="0.3">
      <c r="A52" s="92" t="s">
        <v>32</v>
      </c>
      <c r="B52" s="127">
        <v>216</v>
      </c>
      <c r="C52" s="128">
        <v>313.91600000000034</v>
      </c>
      <c r="D52" s="129">
        <v>147.45099999999999</v>
      </c>
      <c r="E52" s="127">
        <v>29523</v>
      </c>
      <c r="F52" s="128">
        <v>17566.11</v>
      </c>
      <c r="G52" s="128">
        <v>21317.367999999999</v>
      </c>
      <c r="H52" s="109">
        <f t="shared" si="10"/>
        <v>82.402808827055949</v>
      </c>
      <c r="I52" s="130">
        <v>6.6189999999999998</v>
      </c>
      <c r="J52" s="131">
        <v>0</v>
      </c>
      <c r="K52" s="109">
        <f t="shared" si="11"/>
        <v>6.6189999999999998</v>
      </c>
      <c r="L52" s="130">
        <v>1656.1961799999997</v>
      </c>
      <c r="M52" s="131">
        <v>9.1268650000000004</v>
      </c>
      <c r="N52" s="131"/>
      <c r="O52" s="109">
        <f t="shared" si="12"/>
        <v>1665.3230449999996</v>
      </c>
      <c r="P52" s="130">
        <v>1942.9499999999994</v>
      </c>
      <c r="Q52" s="109">
        <f t="shared" si="13"/>
        <v>85.711060243444265</v>
      </c>
    </row>
    <row r="53" spans="1:17" ht="25.5" customHeight="1" x14ac:dyDescent="0.3">
      <c r="A53" s="99" t="s">
        <v>33</v>
      </c>
      <c r="B53" s="132">
        <v>185</v>
      </c>
      <c r="C53" s="133">
        <v>245.76500000000019</v>
      </c>
      <c r="D53" s="134">
        <v>95.378</v>
      </c>
      <c r="E53" s="132">
        <v>26497</v>
      </c>
      <c r="F53" s="133">
        <v>13477.040999999999</v>
      </c>
      <c r="G53" s="133">
        <v>16211.441999999999</v>
      </c>
      <c r="H53" s="135">
        <f t="shared" si="10"/>
        <v>83.132894655515528</v>
      </c>
      <c r="I53" s="136">
        <v>0.66500000000000004</v>
      </c>
      <c r="J53" s="137"/>
      <c r="K53" s="135">
        <f t="shared" si="11"/>
        <v>0.66500000000000004</v>
      </c>
      <c r="L53" s="136">
        <v>1289.6388299999996</v>
      </c>
      <c r="M53" s="137">
        <v>0.607989</v>
      </c>
      <c r="N53" s="137">
        <v>0</v>
      </c>
      <c r="O53" s="135">
        <f t="shared" si="12"/>
        <v>1290.2468189999997</v>
      </c>
      <c r="P53" s="136">
        <v>1504.0095000000006</v>
      </c>
      <c r="Q53" s="135">
        <f t="shared" si="13"/>
        <v>85.787145559918287</v>
      </c>
    </row>
    <row r="54" spans="1:17" ht="25.5" customHeight="1" x14ac:dyDescent="0.3">
      <c r="A54" s="138" t="s">
        <v>34</v>
      </c>
      <c r="B54" s="139">
        <f t="shared" ref="B54:G54" si="14">SUM(B42:B53)</f>
        <v>2555</v>
      </c>
      <c r="C54" s="139">
        <f t="shared" si="14"/>
        <v>3891.0150000000008</v>
      </c>
      <c r="D54" s="139">
        <f t="shared" si="14"/>
        <v>2029.548</v>
      </c>
      <c r="E54" s="139">
        <f t="shared" si="14"/>
        <v>302933</v>
      </c>
      <c r="F54" s="139">
        <f t="shared" si="14"/>
        <v>199212.00599999996</v>
      </c>
      <c r="G54" s="139">
        <f t="shared" si="14"/>
        <v>284183.83599999995</v>
      </c>
      <c r="H54" s="140">
        <f t="shared" si="10"/>
        <v>70.099696310665607</v>
      </c>
      <c r="I54" s="140">
        <f>SUM(I42:I53)</f>
        <v>97.724700000000027</v>
      </c>
      <c r="J54" s="140">
        <f>SUM(J42:J53)</f>
        <v>0</v>
      </c>
      <c r="K54" s="140">
        <f t="shared" si="11"/>
        <v>97.724700000000027</v>
      </c>
      <c r="L54" s="140">
        <f>SUM(L42:L53)</f>
        <v>19501.238090000003</v>
      </c>
      <c r="M54" s="140">
        <f>SUM(M42:M53)</f>
        <v>127.55109440000001</v>
      </c>
      <c r="N54" s="140">
        <f>SUM(N42:N53)</f>
        <v>0</v>
      </c>
      <c r="O54" s="140">
        <f t="shared" si="12"/>
        <v>19628.789184400004</v>
      </c>
      <c r="P54" s="141">
        <f>SUM(P42:P53)</f>
        <v>29445.155549999999</v>
      </c>
      <c r="Q54" s="140">
        <f t="shared" si="13"/>
        <v>66.662202381878757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>
        <v>0</v>
      </c>
      <c r="N64" s="117">
        <v>0</v>
      </c>
      <c r="O64" s="103">
        <f t="shared" si="17"/>
        <v>0</v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>
        <v>1</v>
      </c>
      <c r="C68" s="115">
        <v>2.383</v>
      </c>
      <c r="D68" s="126">
        <v>1.4259999999999999</v>
      </c>
      <c r="E68" s="114">
        <v>193</v>
      </c>
      <c r="F68" s="115">
        <v>275.21800000000002</v>
      </c>
      <c r="G68" s="115">
        <v>330.83199999999999</v>
      </c>
      <c r="H68" s="158">
        <f t="shared" si="15"/>
        <v>83.189655172413808</v>
      </c>
      <c r="I68" s="116"/>
      <c r="J68" s="117"/>
      <c r="K68" s="117" t="str">
        <f t="shared" si="16"/>
        <v/>
      </c>
      <c r="L68" s="116">
        <v>23.28801</v>
      </c>
      <c r="M68" s="117"/>
      <c r="N68" s="117"/>
      <c r="O68" s="103">
        <f t="shared" si="17"/>
        <v>23.28801</v>
      </c>
      <c r="P68" s="117">
        <v>27.625900000000001</v>
      </c>
      <c r="Q68" s="158">
        <f t="shared" si="18"/>
        <v>84.29774233599629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>
        <v>2</v>
      </c>
      <c r="C71" s="160">
        <v>14.783000000000001</v>
      </c>
      <c r="D71" s="161">
        <v>11.644</v>
      </c>
      <c r="E71" s="159">
        <v>497</v>
      </c>
      <c r="F71" s="160">
        <v>2893.5340000000001</v>
      </c>
      <c r="G71" s="160">
        <v>2980.864</v>
      </c>
      <c r="H71" s="162">
        <f t="shared" si="15"/>
        <v>97.0703125</v>
      </c>
      <c r="I71" s="163">
        <v>0</v>
      </c>
      <c r="J71" s="164"/>
      <c r="K71" s="164">
        <f t="shared" si="16"/>
        <v>0</v>
      </c>
      <c r="L71" s="163">
        <v>272.30657999999994</v>
      </c>
      <c r="M71" s="164">
        <v>0</v>
      </c>
      <c r="N71" s="164"/>
      <c r="O71" s="165">
        <f t="shared" si="17"/>
        <v>272.30657999999994</v>
      </c>
      <c r="P71" s="164">
        <v>279.11831999999993</v>
      </c>
      <c r="Q71" s="162">
        <f t="shared" si="18"/>
        <v>97.559551089301493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3</v>
      </c>
      <c r="C73" s="167">
        <f t="shared" si="19"/>
        <v>17.166</v>
      </c>
      <c r="D73" s="167">
        <f t="shared" si="19"/>
        <v>13.07</v>
      </c>
      <c r="E73" s="167">
        <f t="shared" si="19"/>
        <v>690</v>
      </c>
      <c r="F73" s="167">
        <f t="shared" si="19"/>
        <v>3168.752</v>
      </c>
      <c r="G73" s="167">
        <f t="shared" si="19"/>
        <v>3311.6959999999999</v>
      </c>
      <c r="H73" s="168">
        <f t="shared" si="15"/>
        <v>95.683661785381275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295.59458999999993</v>
      </c>
      <c r="M73" s="169">
        <f>SUM(M61:M72)</f>
        <v>0</v>
      </c>
      <c r="N73" s="169">
        <f>SUM(N61:N72)</f>
        <v>0</v>
      </c>
      <c r="O73" s="169">
        <f t="shared" si="17"/>
        <v>295.59458999999993</v>
      </c>
      <c r="P73" s="169">
        <f>SUM(P61:P72)</f>
        <v>306.74421999999993</v>
      </c>
      <c r="Q73" s="168">
        <f t="shared" si="18"/>
        <v>96.365170303779479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2025-01-16T08:57:45Z</dcterms:created>
  <dcterms:modified xsi:type="dcterms:W3CDTF">2025-01-16T08:58:37Z</dcterms:modified>
</cp:coreProperties>
</file>