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9630" windowHeight="5070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<sst xmlns="http://schemas.openxmlformats.org/spreadsheetml/2006/main" count="153" uniqueCount="42">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</sst>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 codeName="Sheet12"/>
  <dimension ref="A1:Q494"/>
  <sheetViews>
    <sheetView showGridLines="0" tabSelected="1" view="pageBreakPreview" topLeftCell="A61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4997</v>
      </c>
      <c r="C4" s="12">
        <v>7553.6333333333332</v>
      </c>
      <c r="D4" s="13">
        <v>4549.9139999999998</v>
      </c>
      <c r="E4" s="14">
        <v>740084</v>
      </c>
      <c r="F4" s="12">
        <v>723701.85600000003</v>
      </c>
      <c r="G4" s="12">
        <v>772698.54200000002</v>
      </c>
      <c r="H4" s="15">
        <f>IFERROR(F4/G4*100," ")</f>
        <v>93.65901663627055</v>
      </c>
      <c r="I4" s="16">
        <v>2503.6980300000014</v>
      </c>
      <c r="J4" s="17"/>
      <c r="K4" s="15">
        <f>IF(AND(ISBLANK(I4),ISBLANK(J4))=TRUE,"",I4+J4)</f>
        <v>2503.6980300000014</v>
      </c>
      <c r="L4" s="16">
        <v>54277.639199999991</v>
      </c>
      <c r="M4" s="17">
        <v>2859.8838617399992</v>
      </c>
      <c r="N4" s="17"/>
      <c r="O4" s="15">
        <f>IF(AND(ISBLANK(L4),ISBLANK(M4),ISBLANK(N4))=TRUE,"",L4+M4+N4)</f>
        <v>57137.523061739987</v>
      </c>
      <c r="P4" s="17">
        <v>72811.723499999993</v>
      </c>
      <c r="Q4" s="15">
        <f>IFERROR(O4/P4*100," ")</f>
        <v>78.472971542474184</v>
      </c>
    </row>
    <row r="5" spans="1:17" ht="23.1" customHeight="1" x14ac:dyDescent="0.3">
      <c r="A5" s="18" t="s">
        <v>23</v>
      </c>
      <c r="B5" s="19">
        <v>4480</v>
      </c>
      <c r="C5" s="19">
        <v>6809.15</v>
      </c>
      <c r="D5" s="18">
        <v>4096.5940000000001</v>
      </c>
      <c r="E5" s="20">
        <v>658810</v>
      </c>
      <c r="F5" s="19">
        <v>656272.96400000004</v>
      </c>
      <c r="G5" s="19">
        <v>694712.82400000002</v>
      </c>
      <c r="H5" s="21">
        <f t="shared" ref="H5:H16" si="0">IFERROR(F5/G5*100," ")</f>
        <v>94.466798557327337</v>
      </c>
      <c r="I5" s="22">
        <v>3099.1049900000025</v>
      </c>
      <c r="J5" s="23"/>
      <c r="K5" s="21">
        <f t="shared" ref="K5:K16" si="1">IF(AND(ISBLANK(I5),ISBLANK(J5))=TRUE,"",I5+J5)</f>
        <v>3099.1049900000025</v>
      </c>
      <c r="L5" s="22">
        <v>49220.472300000001</v>
      </c>
      <c r="M5" s="23">
        <v>3573.2987919099987</v>
      </c>
      <c r="N5" s="23">
        <v>0</v>
      </c>
      <c r="O5" s="21">
        <f t="shared" ref="O5:O16" si="2">IF(AND(ISBLANK(L5),ISBLANK(M5),ISBLANK(N5))=TRUE,"",L5+M5+N5)</f>
        <v>52793.771091909999</v>
      </c>
      <c r="P5" s="23">
        <v>64822.440999999999</v>
      </c>
      <c r="Q5" s="21">
        <f t="shared" ref="Q5:Q16" si="3">IFERROR(O5/P5*100," ")</f>
        <v>81.443664072924989</v>
      </c>
    </row>
    <row r="6" spans="1:17" ht="23.1" customHeight="1" x14ac:dyDescent="0.3">
      <c r="A6" s="24" t="s">
        <v>24</v>
      </c>
      <c r="B6" s="25">
        <v>4802</v>
      </c>
      <c r="C6" s="25">
        <v>7391.583333333333</v>
      </c>
      <c r="D6" s="24">
        <v>4493.5550000000003</v>
      </c>
      <c r="E6" s="26">
        <v>702476</v>
      </c>
      <c r="F6" s="25">
        <v>709538.81299999997</v>
      </c>
      <c r="G6" s="25">
        <v>765060.11</v>
      </c>
      <c r="H6" s="27">
        <f t="shared" si="0"/>
        <v>92.74288434669532</v>
      </c>
      <c r="I6" s="28">
        <v>3133.9680599999979</v>
      </c>
      <c r="J6" s="29"/>
      <c r="K6" s="27">
        <f t="shared" si="1"/>
        <v>3133.9680599999979</v>
      </c>
      <c r="L6" s="28">
        <v>53215.410975000021</v>
      </c>
      <c r="M6" s="29">
        <v>3626.0766987099983</v>
      </c>
      <c r="N6" s="29">
        <v>0</v>
      </c>
      <c r="O6" s="27">
        <f t="shared" si="2"/>
        <v>56841.48767371002</v>
      </c>
      <c r="P6" s="29">
        <v>72015.515499999994</v>
      </c>
      <c r="Q6" s="27">
        <f t="shared" si="3"/>
        <v>78.929501898393028</v>
      </c>
    </row>
    <row r="7" spans="1:17" ht="23.1" customHeight="1" x14ac:dyDescent="0.3">
      <c r="A7" s="18" t="s">
        <v>25</v>
      </c>
      <c r="B7" s="19">
        <v>4397</v>
      </c>
      <c r="C7" s="19">
        <v>6795.666666666667</v>
      </c>
      <c r="D7" s="18">
        <v>4121.634</v>
      </c>
      <c r="E7" s="20">
        <v>617484</v>
      </c>
      <c r="F7" s="19">
        <v>629399.1</v>
      </c>
      <c r="G7" s="19">
        <v>692788.55700000003</v>
      </c>
      <c r="H7" s="21">
        <f t="shared" si="0"/>
        <v>90.850100458573252</v>
      </c>
      <c r="I7" s="22">
        <v>2316.7336099999998</v>
      </c>
      <c r="J7" s="23">
        <v>0</v>
      </c>
      <c r="K7" s="21">
        <f t="shared" si="1"/>
        <v>2316.7336099999998</v>
      </c>
      <c r="L7" s="22">
        <v>47204.932500000003</v>
      </c>
      <c r="M7" s="23">
        <v>2773.6515722000004</v>
      </c>
      <c r="N7" s="23">
        <v>0</v>
      </c>
      <c r="O7" s="21">
        <f t="shared" si="2"/>
        <v>49978.584072199999</v>
      </c>
      <c r="P7" s="23">
        <v>63549.3295</v>
      </c>
      <c r="Q7" s="21">
        <f t="shared" si="3"/>
        <v>78.645336568342543</v>
      </c>
    </row>
    <row r="8" spans="1:17" s="30" customFormat="1" ht="30" customHeight="1" x14ac:dyDescent="0.25">
      <c r="A8" s="24" t="s">
        <v>26</v>
      </c>
      <c r="B8" s="25">
        <v>4004</v>
      </c>
      <c r="C8" s="25">
        <v>6028.0333333333338</v>
      </c>
      <c r="D8" s="24">
        <v>3596.7779999999998</v>
      </c>
      <c r="E8" s="26">
        <v>554464</v>
      </c>
      <c r="F8" s="25">
        <v>549305.41899999999</v>
      </c>
      <c r="G8" s="25">
        <v>583603.90099999995</v>
      </c>
      <c r="H8" s="27">
        <f t="shared" si="0"/>
        <v>94.122986165577402</v>
      </c>
      <c r="I8" s="28">
        <v>2206.6158600000003</v>
      </c>
      <c r="J8" s="29"/>
      <c r="K8" s="27">
        <f t="shared" si="1"/>
        <v>2206.6158600000003</v>
      </c>
      <c r="L8" s="28">
        <v>41197.906424999972</v>
      </c>
      <c r="M8" s="29">
        <v>2562.2680941799999</v>
      </c>
      <c r="N8" s="29"/>
      <c r="O8" s="27">
        <f t="shared" si="2"/>
        <v>43760.174519179971</v>
      </c>
      <c r="P8" s="29">
        <v>52936.165999999997</v>
      </c>
      <c r="Q8" s="27">
        <f t="shared" si="3"/>
        <v>82.665931112540292</v>
      </c>
    </row>
    <row r="9" spans="1:17" ht="23.1" customHeight="1" x14ac:dyDescent="0.3">
      <c r="A9" s="18" t="s">
        <v>27</v>
      </c>
      <c r="B9" s="19">
        <v>3637</v>
      </c>
      <c r="C9" s="19">
        <v>5548.8166666666666</v>
      </c>
      <c r="D9" s="18">
        <v>3313</v>
      </c>
      <c r="E9" s="20">
        <v>499538</v>
      </c>
      <c r="F9" s="19">
        <v>499202.83600000001</v>
      </c>
      <c r="G9" s="19">
        <v>545609.61899999995</v>
      </c>
      <c r="H9" s="21">
        <f t="shared" si="0"/>
        <v>91.494507907493485</v>
      </c>
      <c r="I9" s="22">
        <v>2304.6969600000002</v>
      </c>
      <c r="J9" s="23">
        <v>0</v>
      </c>
      <c r="K9" s="21">
        <f t="shared" si="1"/>
        <v>2304.6969600000002</v>
      </c>
      <c r="L9" s="22">
        <v>37440.212699999989</v>
      </c>
      <c r="M9" s="23">
        <v>2681.98589507</v>
      </c>
      <c r="N9" s="23">
        <v>0</v>
      </c>
      <c r="O9" s="21">
        <f t="shared" si="2"/>
        <v>40122.198595069989</v>
      </c>
      <c r="P9" s="23">
        <v>48787.058499999999</v>
      </c>
      <c r="Q9" s="21">
        <f t="shared" si="3"/>
        <v>82.239429530415308</v>
      </c>
    </row>
    <row r="10" spans="1:17" ht="23.1" customHeight="1" x14ac:dyDescent="0.3">
      <c r="A10" s="24" t="s">
        <v>28</v>
      </c>
      <c r="B10" s="25">
        <v>3115</v>
      </c>
      <c r="C10" s="25">
        <v>4610.1000000000004</v>
      </c>
      <c r="D10" s="24">
        <v>2650.7020000000002</v>
      </c>
      <c r="E10" s="26">
        <v>405360</v>
      </c>
      <c r="F10" s="25">
        <v>380158.36099999998</v>
      </c>
      <c r="G10" s="25">
        <v>421080.55300000001</v>
      </c>
      <c r="H10" s="27">
        <f t="shared" si="0"/>
        <v>90.281623858321467</v>
      </c>
      <c r="I10" s="28">
        <v>1955.2551900000021</v>
      </c>
      <c r="J10" s="29"/>
      <c r="K10" s="27">
        <f t="shared" si="1"/>
        <v>1955.2551900000021</v>
      </c>
      <c r="L10" s="28">
        <v>28511.877075000004</v>
      </c>
      <c r="M10" s="29">
        <v>2127.7934833700024</v>
      </c>
      <c r="N10" s="29"/>
      <c r="O10" s="27">
        <f t="shared" si="2"/>
        <v>30639.670558370006</v>
      </c>
      <c r="P10" s="29">
        <v>37332.985000000001</v>
      </c>
      <c r="Q10" s="27">
        <f t="shared" si="3"/>
        <v>82.071311893142223</v>
      </c>
    </row>
    <row r="11" spans="1:17" ht="23.1" customHeight="1" x14ac:dyDescent="0.3">
      <c r="A11" s="18" t="s">
        <v>29</v>
      </c>
      <c r="B11" s="19">
        <v>2729</v>
      </c>
      <c r="C11" s="19">
        <v>3877.55</v>
      </c>
      <c r="D11" s="18">
        <v>2163.2330000000002</v>
      </c>
      <c r="E11" s="20">
        <v>302378</v>
      </c>
      <c r="F11" s="19">
        <v>268364.22200000001</v>
      </c>
      <c r="G11" s="19">
        <v>331279.97399999999</v>
      </c>
      <c r="H11" s="21">
        <f t="shared" si="0"/>
        <v>81.008283947764383</v>
      </c>
      <c r="I11" s="22">
        <v>1533.1017900000022</v>
      </c>
      <c r="J11" s="23"/>
      <c r="K11" s="21">
        <f t="shared" si="1"/>
        <v>1533.1017900000022</v>
      </c>
      <c r="L11" s="22">
        <v>20127.316650000001</v>
      </c>
      <c r="M11" s="23">
        <v>1594.9193745800001</v>
      </c>
      <c r="N11" s="23"/>
      <c r="O11" s="21">
        <f t="shared" si="2"/>
        <v>21722.236024580001</v>
      </c>
      <c r="P11" s="23">
        <v>28971.209500000001</v>
      </c>
      <c r="Q11" s="21">
        <f t="shared" si="3"/>
        <v>74.978699196455707</v>
      </c>
    </row>
    <row r="12" spans="1:17" ht="23.1" customHeight="1" x14ac:dyDescent="0.3">
      <c r="A12" s="24" t="s">
        <v>30</v>
      </c>
      <c r="B12" s="25">
        <v>2281</v>
      </c>
      <c r="C12" s="25">
        <v>3276.95</v>
      </c>
      <c r="D12" s="24">
        <v>1865.316</v>
      </c>
      <c r="E12" s="26">
        <v>261053</v>
      </c>
      <c r="F12" s="25">
        <v>237263.79800000001</v>
      </c>
      <c r="G12" s="25">
        <v>295276.26799999998</v>
      </c>
      <c r="H12" s="27">
        <f t="shared" si="0"/>
        <v>80.353155235624968</v>
      </c>
      <c r="I12" s="28">
        <v>1421.4667100000004</v>
      </c>
      <c r="J12" s="29"/>
      <c r="K12" s="27">
        <f t="shared" si="1"/>
        <v>1421.4667100000004</v>
      </c>
      <c r="L12" s="28">
        <v>17794.784849999996</v>
      </c>
      <c r="M12" s="29">
        <v>1517.2396988100002</v>
      </c>
      <c r="N12" s="29"/>
      <c r="O12" s="27">
        <f t="shared" si="2"/>
        <v>19312.024548809997</v>
      </c>
      <c r="P12" s="29">
        <v>25768.344000000001</v>
      </c>
      <c r="Q12" s="27">
        <f t="shared" si="3"/>
        <v>74.944763811015548</v>
      </c>
    </row>
    <row r="13" spans="1:17" ht="23.1" customHeight="1" x14ac:dyDescent="0.3">
      <c r="A13" s="18" t="s">
        <v>31</v>
      </c>
      <c r="B13" s="19">
        <v>3079</v>
      </c>
      <c r="C13" s="19">
        <v>4405.2</v>
      </c>
      <c r="D13" s="18">
        <v>2535.462</v>
      </c>
      <c r="E13" s="20">
        <v>334601</v>
      </c>
      <c r="F13" s="19">
        <v>314924.853</v>
      </c>
      <c r="G13" s="19">
        <v>388614.408</v>
      </c>
      <c r="H13" s="21">
        <f t="shared" si="0"/>
        <v>81.037873665250217</v>
      </c>
      <c r="I13" s="22">
        <v>1894.6426399999987</v>
      </c>
      <c r="J13" s="23"/>
      <c r="K13" s="21">
        <f t="shared" si="1"/>
        <v>1894.6426399999987</v>
      </c>
      <c r="L13" s="22">
        <v>23619.363975000004</v>
      </c>
      <c r="M13" s="23">
        <v>2151.4072246999995</v>
      </c>
      <c r="N13" s="23"/>
      <c r="O13" s="21">
        <f t="shared" si="2"/>
        <v>25770.771199700004</v>
      </c>
      <c r="P13" s="23">
        <v>34091.034500000002</v>
      </c>
      <c r="Q13" s="21">
        <f t="shared" si="3"/>
        <v>75.593984100717165</v>
      </c>
    </row>
    <row r="14" spans="1:17" ht="23.1" customHeight="1" x14ac:dyDescent="0.3">
      <c r="A14" s="24" t="s">
        <v>32</v>
      </c>
      <c r="B14" s="25">
        <v>3579</v>
      </c>
      <c r="C14" s="25">
        <v>5355.4833333333336</v>
      </c>
      <c r="D14" s="24">
        <v>3151.5880000000002</v>
      </c>
      <c r="E14" s="26">
        <v>442543</v>
      </c>
      <c r="F14" s="25">
        <v>430506.16499999998</v>
      </c>
      <c r="G14" s="25">
        <v>489922.33799999999</v>
      </c>
      <c r="H14" s="27">
        <f t="shared" si="0"/>
        <v>87.872328246441384</v>
      </c>
      <c r="I14" s="28">
        <v>1937.0529800000004</v>
      </c>
      <c r="J14" s="29">
        <v>0</v>
      </c>
      <c r="K14" s="27">
        <f t="shared" si="1"/>
        <v>1937.0529800000004</v>
      </c>
      <c r="L14" s="28">
        <v>32287.962374999992</v>
      </c>
      <c r="M14" s="29">
        <v>2227.9586733699998</v>
      </c>
      <c r="N14" s="29"/>
      <c r="O14" s="27">
        <f t="shared" si="2"/>
        <v>34515.921048369994</v>
      </c>
      <c r="P14" s="29">
        <v>42973.504999999997</v>
      </c>
      <c r="Q14" s="27">
        <f t="shared" si="3"/>
        <v>80.319073457866637</v>
      </c>
    </row>
    <row r="15" spans="1:17" ht="23.1" customHeight="1" x14ac:dyDescent="0.3">
      <c r="A15" s="31" t="s">
        <v>33</v>
      </c>
      <c r="B15" s="32">
        <v>3752</v>
      </c>
      <c r="C15" s="32">
        <v>5828.583333333333</v>
      </c>
      <c r="D15" s="33">
        <v>3495.7469999999998</v>
      </c>
      <c r="E15" s="34">
        <v>489394</v>
      </c>
      <c r="F15" s="32">
        <v>494633.48499999999</v>
      </c>
      <c r="G15" s="32">
        <v>565677.54799999995</v>
      </c>
      <c r="H15" s="35">
        <f t="shared" si="0"/>
        <v>87.44089044170444</v>
      </c>
      <c r="I15" s="36">
        <v>2081.0657700000011</v>
      </c>
      <c r="J15" s="37">
        <v>0</v>
      </c>
      <c r="K15" s="35">
        <f t="shared" si="1"/>
        <v>2081.0657700000011</v>
      </c>
      <c r="L15" s="36">
        <v>37097.511375000002</v>
      </c>
      <c r="M15" s="37">
        <v>2447.7417214799998</v>
      </c>
      <c r="N15" s="37">
        <v>0</v>
      </c>
      <c r="O15" s="35">
        <f t="shared" si="2"/>
        <v>39545.253096480003</v>
      </c>
      <c r="P15" s="23">
        <v>49686.077499999999</v>
      </c>
      <c r="Q15" s="21">
        <f t="shared" si="3"/>
        <v>79.590209342808365</v>
      </c>
    </row>
    <row r="16" spans="1:17" ht="23.1" customHeight="1" x14ac:dyDescent="0.3">
      <c r="A16" s="38" t="s">
        <v>34</v>
      </c>
      <c r="B16" s="39">
        <f t="shared" ref="B16:G16" si="4">SUM(B4:B15)</f>
        <v>44852</v>
      </c>
      <c r="C16" s="39">
        <f t="shared" si="4"/>
        <v>67480.749999999985</v>
      </c>
      <c r="D16" s="39">
        <f t="shared" si="4"/>
        <v>40033.523000000008</v>
      </c>
      <c r="E16" s="39">
        <f t="shared" si="4"/>
        <v>6008185</v>
      </c>
      <c r="F16" s="39">
        <f t="shared" si="4"/>
        <v>5893271.8720000004</v>
      </c>
      <c r="G16" s="39">
        <f t="shared" si="4"/>
        <v>6546324.6420000009</v>
      </c>
      <c r="H16" s="40">
        <f t="shared" si="0"/>
        <v>90.024131009175207</v>
      </c>
      <c r="I16" s="40">
        <f>SUM(I4:I15)</f>
        <v>26387.402590000005</v>
      </c>
      <c r="J16" s="40">
        <f>SUM(J4:J15)</f>
        <v>0</v>
      </c>
      <c r="K16" s="40">
        <f t="shared" si="1"/>
        <v>26387.402590000005</v>
      </c>
      <c r="L16" s="40">
        <f>SUM(L4:L15)</f>
        <v>441995.39039999997</v>
      </c>
      <c r="M16" s="40">
        <f>SUM(M4:M15)</f>
        <v>30144.225090120002</v>
      </c>
      <c r="N16" s="40">
        <f>SUM(N4:N15)</f>
        <v>0</v>
      </c>
      <c r="O16" s="40">
        <f t="shared" si="2"/>
        <v>472139.61549011996</v>
      </c>
      <c r="P16" s="41">
        <f>SUM(P4:P15)</f>
        <v>593745.38949999993</v>
      </c>
      <c r="Q16" s="41">
        <f t="shared" si="3"/>
        <v>79.518868498114031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1120</v>
      </c>
      <c r="C23" s="58">
        <v>3776.6833333333334</v>
      </c>
      <c r="D23" s="59">
        <v>2746.1480000000001</v>
      </c>
      <c r="E23" s="57">
        <v>185778</v>
      </c>
      <c r="F23" s="58">
        <v>455075.52600000001</v>
      </c>
      <c r="G23" s="58">
        <v>517869.70799999998</v>
      </c>
      <c r="H23" s="60">
        <f t="shared" ref="H23:H35" si="5">IFERROR(F23/G23*100," ")</f>
        <v>87.874521133412202</v>
      </c>
      <c r="I23" s="61">
        <v>681.7425099999997</v>
      </c>
      <c r="J23" s="61"/>
      <c r="K23" s="61">
        <f>IF(AND(ISBLANK(I23),ISBLANK(J23))=TRUE,"",I23+J23)</f>
        <v>681.7425099999997</v>
      </c>
      <c r="L23" s="62">
        <v>34130.664450000011</v>
      </c>
      <c r="M23" s="61">
        <v>1561.7282298699997</v>
      </c>
      <c r="N23" s="61"/>
      <c r="O23" s="63">
        <f>IF(AND(ISBLANK(L23),ISBLANK(M23),ISBLANK(N23))=TRUE,"",L23+M23+N23)</f>
        <v>35692.392679870012</v>
      </c>
      <c r="P23" s="62">
        <v>51447.464</v>
      </c>
      <c r="Q23" s="63">
        <f>IFERROR(O23/P23*100," ")</f>
        <v>69.376388853433113</v>
      </c>
    </row>
    <row r="24" spans="1:17" ht="23.1" customHeight="1" x14ac:dyDescent="0.3">
      <c r="A24" s="64" t="s">
        <v>23</v>
      </c>
      <c r="B24" s="65">
        <v>907</v>
      </c>
      <c r="C24" s="64">
        <v>3055.9833333333331</v>
      </c>
      <c r="D24" s="66">
        <v>2195.694</v>
      </c>
      <c r="E24" s="65">
        <v>153194</v>
      </c>
      <c r="F24" s="64">
        <v>369137.603</v>
      </c>
      <c r="G24" s="64">
        <v>413606.03100000002</v>
      </c>
      <c r="H24" s="67">
        <f t="shared" si="5"/>
        <v>89.24860261527472</v>
      </c>
      <c r="I24" s="68">
        <v>205.50004999999999</v>
      </c>
      <c r="J24" s="68"/>
      <c r="K24" s="68">
        <f t="shared" ref="K24:K35" si="6">IF(AND(ISBLANK(I24),ISBLANK(J24))=TRUE,"",I24+J24)</f>
        <v>205.50004999999999</v>
      </c>
      <c r="L24" s="69">
        <v>27685.320225000003</v>
      </c>
      <c r="M24" s="68">
        <v>469.14820508000003</v>
      </c>
      <c r="N24" s="68">
        <v>0</v>
      </c>
      <c r="O24" s="67">
        <f t="shared" ref="O24:O35" si="7">IF(AND(ISBLANK(L24),ISBLANK(M24),ISBLANK(N24))=TRUE,"",L24+M24+N24)</f>
        <v>28154.468430080004</v>
      </c>
      <c r="P24" s="69">
        <v>40706.767999999996</v>
      </c>
      <c r="Q24" s="67">
        <f t="shared" ref="Q24:Q35" si="8">IFERROR(O24/P24*100," ")</f>
        <v>69.164096815743278</v>
      </c>
    </row>
    <row r="25" spans="1:17" ht="23.1" customHeight="1" x14ac:dyDescent="0.3">
      <c r="A25" s="56" t="s">
        <v>24</v>
      </c>
      <c r="B25" s="70">
        <v>939</v>
      </c>
      <c r="C25" s="56">
        <v>3151.75</v>
      </c>
      <c r="D25" s="71">
        <v>2292.8960000000002</v>
      </c>
      <c r="E25" s="70">
        <v>156783</v>
      </c>
      <c r="F25" s="56">
        <v>380577.58600000001</v>
      </c>
      <c r="G25" s="56">
        <v>432099.05099999998</v>
      </c>
      <c r="H25" s="60">
        <f t="shared" si="5"/>
        <v>88.076468837234273</v>
      </c>
      <c r="I25" s="72">
        <v>724.99540999999988</v>
      </c>
      <c r="J25" s="72"/>
      <c r="K25" s="72">
        <f t="shared" si="6"/>
        <v>724.99540999999988</v>
      </c>
      <c r="L25" s="73">
        <v>28543.318950000001</v>
      </c>
      <c r="M25" s="72">
        <v>1744.09757995</v>
      </c>
      <c r="N25" s="72"/>
      <c r="O25" s="60">
        <f t="shared" si="7"/>
        <v>30287.416529950002</v>
      </c>
      <c r="P25" s="73">
        <v>42854.428</v>
      </c>
      <c r="Q25" s="60">
        <f t="shared" si="8"/>
        <v>70.675115602873063</v>
      </c>
    </row>
    <row r="26" spans="1:17" ht="23.1" customHeight="1" x14ac:dyDescent="0.3">
      <c r="A26" s="64" t="s">
        <v>25</v>
      </c>
      <c r="B26" s="65">
        <v>791</v>
      </c>
      <c r="C26" s="64">
        <v>2602.0666666666666</v>
      </c>
      <c r="D26" s="66">
        <v>1894.9290000000001</v>
      </c>
      <c r="E26" s="65">
        <v>133110</v>
      </c>
      <c r="F26" s="64">
        <v>321974.79800000001</v>
      </c>
      <c r="G26" s="64">
        <v>356200.45799999998</v>
      </c>
      <c r="H26" s="67">
        <f t="shared" si="5"/>
        <v>90.391460978974933</v>
      </c>
      <c r="I26" s="68">
        <v>496.67193000000009</v>
      </c>
      <c r="J26" s="68">
        <v>0</v>
      </c>
      <c r="K26" s="68">
        <f t="shared" si="6"/>
        <v>496.67193000000009</v>
      </c>
      <c r="L26" s="69">
        <v>24148.109850000001</v>
      </c>
      <c r="M26" s="68">
        <v>1169.9112891100001</v>
      </c>
      <c r="N26" s="68">
        <v>0</v>
      </c>
      <c r="O26" s="67">
        <f t="shared" si="7"/>
        <v>25318.021139110002</v>
      </c>
      <c r="P26" s="69">
        <v>35059.968000000001</v>
      </c>
      <c r="Q26" s="67">
        <f t="shared" si="8"/>
        <v>72.213474750205137</v>
      </c>
    </row>
    <row r="27" spans="1:17" s="30" customFormat="1" ht="30" customHeight="1" x14ac:dyDescent="0.25">
      <c r="A27" s="56" t="s">
        <v>26</v>
      </c>
      <c r="B27" s="70">
        <v>858</v>
      </c>
      <c r="C27" s="56">
        <v>2764.1</v>
      </c>
      <c r="D27" s="71">
        <v>2045.172</v>
      </c>
      <c r="E27" s="70">
        <v>143066</v>
      </c>
      <c r="F27" s="56">
        <v>342691.38799999998</v>
      </c>
      <c r="G27" s="56">
        <v>383725.86300000001</v>
      </c>
      <c r="H27" s="60">
        <f t="shared" si="5"/>
        <v>89.306304589638756</v>
      </c>
      <c r="I27" s="72">
        <v>719.12225999999987</v>
      </c>
      <c r="J27" s="72"/>
      <c r="K27" s="72">
        <f t="shared" si="6"/>
        <v>719.12225999999987</v>
      </c>
      <c r="L27" s="73">
        <v>25701.8541</v>
      </c>
      <c r="M27" s="72">
        <v>1659.3618229700003</v>
      </c>
      <c r="N27" s="72"/>
      <c r="O27" s="60">
        <f t="shared" si="7"/>
        <v>27361.215922970001</v>
      </c>
      <c r="P27" s="73">
        <v>36384.445</v>
      </c>
      <c r="Q27" s="60">
        <f t="shared" si="8"/>
        <v>75.200311350001357</v>
      </c>
    </row>
    <row r="28" spans="1:17" ht="23.1" customHeight="1" x14ac:dyDescent="0.3">
      <c r="A28" s="64" t="s">
        <v>27</v>
      </c>
      <c r="B28" s="65">
        <v>867</v>
      </c>
      <c r="C28" s="64">
        <v>2781.1333333333332</v>
      </c>
      <c r="D28" s="66">
        <v>2076</v>
      </c>
      <c r="E28" s="65">
        <v>140093</v>
      </c>
      <c r="F28" s="64">
        <v>338629.685</v>
      </c>
      <c r="G28" s="64">
        <v>403279.40100000001</v>
      </c>
      <c r="H28" s="67">
        <f t="shared" si="5"/>
        <v>83.969001183871526</v>
      </c>
      <c r="I28" s="68">
        <v>901.68096999999989</v>
      </c>
      <c r="J28" s="68">
        <v>0</v>
      </c>
      <c r="K28" s="68">
        <f t="shared" si="6"/>
        <v>901.68096999999989</v>
      </c>
      <c r="L28" s="69">
        <v>25397.226374999998</v>
      </c>
      <c r="M28" s="68">
        <v>2201.71437246</v>
      </c>
      <c r="N28" s="68"/>
      <c r="O28" s="67">
        <f t="shared" si="7"/>
        <v>27598.940747459998</v>
      </c>
      <c r="P28" s="69">
        <v>39898.046999999999</v>
      </c>
      <c r="Q28" s="67">
        <f t="shared" si="8"/>
        <v>69.173663431345403</v>
      </c>
    </row>
    <row r="29" spans="1:17" ht="23.1" customHeight="1" x14ac:dyDescent="0.3">
      <c r="A29" s="56" t="s">
        <v>28</v>
      </c>
      <c r="B29" s="70">
        <v>830</v>
      </c>
      <c r="C29" s="56">
        <v>2703.75</v>
      </c>
      <c r="D29" s="71">
        <v>1992.7940000000001</v>
      </c>
      <c r="E29" s="70">
        <v>124846</v>
      </c>
      <c r="F29" s="56">
        <v>301856.152</v>
      </c>
      <c r="G29" s="56">
        <v>372123.549</v>
      </c>
      <c r="H29" s="60">
        <f t="shared" si="5"/>
        <v>81.117186163351349</v>
      </c>
      <c r="I29" s="72">
        <v>718.60881000000006</v>
      </c>
      <c r="J29" s="72"/>
      <c r="K29" s="72">
        <f t="shared" si="6"/>
        <v>718.60881000000006</v>
      </c>
      <c r="L29" s="73">
        <v>22639.211399999997</v>
      </c>
      <c r="M29" s="72">
        <v>1717.4433764900002</v>
      </c>
      <c r="N29" s="72"/>
      <c r="O29" s="60">
        <f t="shared" si="7"/>
        <v>24356.654776489995</v>
      </c>
      <c r="P29" s="73">
        <v>34093.24</v>
      </c>
      <c r="Q29" s="60">
        <f t="shared" si="8"/>
        <v>71.441302664369815</v>
      </c>
    </row>
    <row r="30" spans="1:17" ht="23.1" customHeight="1" x14ac:dyDescent="0.3">
      <c r="A30" s="64" t="s">
        <v>29</v>
      </c>
      <c r="B30" s="65">
        <v>736</v>
      </c>
      <c r="C30" s="64">
        <v>2460.3833333333332</v>
      </c>
      <c r="D30" s="66">
        <v>1800.972</v>
      </c>
      <c r="E30" s="65">
        <v>102576</v>
      </c>
      <c r="F30" s="64">
        <v>255586.66800000001</v>
      </c>
      <c r="G30" s="64">
        <v>334131.42300000001</v>
      </c>
      <c r="H30" s="67">
        <f t="shared" si="5"/>
        <v>76.492855926334116</v>
      </c>
      <c r="I30" s="68">
        <v>557.96182999999996</v>
      </c>
      <c r="J30" s="68"/>
      <c r="K30" s="68">
        <f t="shared" si="6"/>
        <v>557.96182999999996</v>
      </c>
      <c r="L30" s="69">
        <v>19169.000099999994</v>
      </c>
      <c r="M30" s="68">
        <v>1382.23967477</v>
      </c>
      <c r="N30" s="68"/>
      <c r="O30" s="67">
        <f t="shared" si="7"/>
        <v>20551.239774769994</v>
      </c>
      <c r="P30" s="69">
        <v>29970.964</v>
      </c>
      <c r="Q30" s="67">
        <f t="shared" si="8"/>
        <v>68.570499683527004</v>
      </c>
    </row>
    <row r="31" spans="1:17" ht="23.1" customHeight="1" x14ac:dyDescent="0.3">
      <c r="A31" s="56" t="s">
        <v>30</v>
      </c>
      <c r="B31" s="70">
        <v>729</v>
      </c>
      <c r="C31" s="56">
        <v>2377.4833333333331</v>
      </c>
      <c r="D31" s="71">
        <v>1748.9659999999999</v>
      </c>
      <c r="E31" s="70">
        <v>94152</v>
      </c>
      <c r="F31" s="56">
        <v>229138.14</v>
      </c>
      <c r="G31" s="56">
        <v>324281.64</v>
      </c>
      <c r="H31" s="60">
        <f t="shared" si="5"/>
        <v>70.660226092356012</v>
      </c>
      <c r="I31" s="72">
        <v>556.87223999999992</v>
      </c>
      <c r="J31" s="72"/>
      <c r="K31" s="72">
        <f t="shared" si="6"/>
        <v>556.87223999999992</v>
      </c>
      <c r="L31" s="73">
        <v>17185.360499999999</v>
      </c>
      <c r="M31" s="72">
        <v>1324.82167127</v>
      </c>
      <c r="N31" s="72"/>
      <c r="O31" s="60">
        <f t="shared" si="7"/>
        <v>18510.18217127</v>
      </c>
      <c r="P31" s="73">
        <v>28512.488000000001</v>
      </c>
      <c r="Q31" s="60">
        <f t="shared" si="8"/>
        <v>64.919561461174482</v>
      </c>
    </row>
    <row r="32" spans="1:17" ht="23.1" customHeight="1" x14ac:dyDescent="0.3">
      <c r="A32" s="64" t="s">
        <v>31</v>
      </c>
      <c r="B32" s="65">
        <v>781</v>
      </c>
      <c r="C32" s="64">
        <v>2388.6833333333334</v>
      </c>
      <c r="D32" s="66">
        <v>1754.2719999999999</v>
      </c>
      <c r="E32" s="65">
        <v>112386</v>
      </c>
      <c r="F32" s="64">
        <v>249353.02</v>
      </c>
      <c r="G32" s="64">
        <v>325963.554</v>
      </c>
      <c r="H32" s="67">
        <f t="shared" si="5"/>
        <v>76.49720864192075</v>
      </c>
      <c r="I32" s="68">
        <v>776.51274000000001</v>
      </c>
      <c r="J32" s="68"/>
      <c r="K32" s="68">
        <f t="shared" si="6"/>
        <v>776.51274000000001</v>
      </c>
      <c r="L32" s="69">
        <v>18701.476500000001</v>
      </c>
      <c r="M32" s="68">
        <v>1742.4653650600001</v>
      </c>
      <c r="N32" s="68"/>
      <c r="O32" s="67">
        <f t="shared" si="7"/>
        <v>20443.941865060002</v>
      </c>
      <c r="P32" s="69">
        <v>28735.995999999999</v>
      </c>
      <c r="Q32" s="67">
        <f t="shared" si="8"/>
        <v>71.144016950239006</v>
      </c>
    </row>
    <row r="33" spans="1:17" ht="23.1" customHeight="1" x14ac:dyDescent="0.3">
      <c r="A33" s="56" t="s">
        <v>32</v>
      </c>
      <c r="B33" s="70">
        <v>810</v>
      </c>
      <c r="C33" s="56">
        <v>2544.1833333333334</v>
      </c>
      <c r="D33" s="71">
        <v>1863.251</v>
      </c>
      <c r="E33" s="70">
        <v>130724</v>
      </c>
      <c r="F33" s="56">
        <v>295778.17499999999</v>
      </c>
      <c r="G33" s="56">
        <v>349948.90600000002</v>
      </c>
      <c r="H33" s="60">
        <f t="shared" si="5"/>
        <v>84.520388527804101</v>
      </c>
      <c r="I33" s="72">
        <v>625.97448999999983</v>
      </c>
      <c r="J33" s="72">
        <v>0</v>
      </c>
      <c r="K33" s="72">
        <f t="shared" si="6"/>
        <v>625.97448999999983</v>
      </c>
      <c r="L33" s="73">
        <v>22183.363125000003</v>
      </c>
      <c r="M33" s="72">
        <v>1449.0327955699997</v>
      </c>
      <c r="N33" s="72"/>
      <c r="O33" s="60">
        <f t="shared" si="7"/>
        <v>23632.395920570005</v>
      </c>
      <c r="P33" s="73">
        <v>32144.795999999998</v>
      </c>
      <c r="Q33" s="60">
        <f t="shared" si="8"/>
        <v>73.518574890224869</v>
      </c>
    </row>
    <row r="34" spans="1:17" ht="23.1" customHeight="1" x14ac:dyDescent="0.3">
      <c r="A34" s="64" t="s">
        <v>33</v>
      </c>
      <c r="B34" s="74">
        <v>850</v>
      </c>
      <c r="C34" s="75">
        <v>2698.6833333333334</v>
      </c>
      <c r="D34" s="76">
        <v>1960.154</v>
      </c>
      <c r="E34" s="74">
        <v>133659</v>
      </c>
      <c r="F34" s="75">
        <v>304777.929</v>
      </c>
      <c r="G34" s="75">
        <v>367698.83600000001</v>
      </c>
      <c r="H34" s="67">
        <f t="shared" si="5"/>
        <v>82.887923256847074</v>
      </c>
      <c r="I34" s="77">
        <v>727.88501999999994</v>
      </c>
      <c r="J34" s="77"/>
      <c r="K34" s="77">
        <f t="shared" si="6"/>
        <v>727.88501999999994</v>
      </c>
      <c r="L34" s="78">
        <v>22858.344674999997</v>
      </c>
      <c r="M34" s="77">
        <v>1681.0288312999999</v>
      </c>
      <c r="N34" s="77"/>
      <c r="O34" s="79">
        <f t="shared" si="7"/>
        <v>24539.373506299995</v>
      </c>
      <c r="P34" s="78">
        <v>33696.368000000002</v>
      </c>
      <c r="Q34" s="79">
        <f t="shared" si="8"/>
        <v>72.824980740654283</v>
      </c>
    </row>
    <row r="35" spans="1:17" ht="23.1" customHeight="1" x14ac:dyDescent="0.3">
      <c r="A35" s="80" t="s">
        <v>34</v>
      </c>
      <c r="B35" s="81">
        <f t="shared" ref="B35:G35" si="9">SUM(B23:B34)</f>
        <v>10218</v>
      </c>
      <c r="C35" s="81">
        <f t="shared" si="9"/>
        <v>33304.883333333331</v>
      </c>
      <c r="D35" s="81">
        <f t="shared" si="9"/>
        <v>24371.248000000003</v>
      </c>
      <c r="E35" s="81">
        <f t="shared" si="9"/>
        <v>1610367</v>
      </c>
      <c r="F35" s="81">
        <f t="shared" si="9"/>
        <v>3844576.67</v>
      </c>
      <c r="G35" s="81">
        <f t="shared" si="9"/>
        <v>4580928.4200000009</v>
      </c>
      <c r="H35" s="82">
        <f t="shared" si="5"/>
        <v>83.92570932160514</v>
      </c>
      <c r="I35" s="83">
        <f>SUM(I23:I34)</f>
        <v>7693.5282599999991</v>
      </c>
      <c r="J35" s="83">
        <f>SUM(J23:J34)</f>
        <v>0</v>
      </c>
      <c r="K35" s="83">
        <f t="shared" si="6"/>
        <v>7693.5282599999991</v>
      </c>
      <c r="L35" s="83">
        <f>SUM(L23:L34)</f>
        <v>288343.25024999998</v>
      </c>
      <c r="M35" s="83">
        <f>SUM(M23:M34)</f>
        <v>18102.993213899997</v>
      </c>
      <c r="N35" s="83">
        <f>SUM(N23:N34)</f>
        <v>0</v>
      </c>
      <c r="O35" s="83">
        <f t="shared" si="7"/>
        <v>306446.2434639</v>
      </c>
      <c r="P35" s="83">
        <f>SUM(P23:P34)</f>
        <v>433504.97199999995</v>
      </c>
      <c r="Q35" s="83">
        <f t="shared" si="8"/>
        <v>70.69036418431206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88</v>
      </c>
      <c r="C42" s="94">
        <v>262.09999999999997</v>
      </c>
      <c r="D42" s="95">
        <v>90.115999999999985</v>
      </c>
      <c r="E42" s="93">
        <v>4074</v>
      </c>
      <c r="F42" s="94">
        <v>2861.54</v>
      </c>
      <c r="G42" s="94">
        <v>3916.26</v>
      </c>
      <c r="H42" s="96">
        <f t="shared" ref="H42:H54" si="10">IFERROR(F42/G42*100," ")</f>
        <v>73.06818239851286</v>
      </c>
      <c r="I42" s="97">
        <v>137.64487000000003</v>
      </c>
      <c r="J42" s="98"/>
      <c r="K42" s="96">
        <f>IF(AND(ISBLANK(I42),ISBLANK(J42))=TRUE,"",I42+J42)</f>
        <v>137.64487000000003</v>
      </c>
      <c r="L42" s="97">
        <v>214.61549999999994</v>
      </c>
      <c r="M42" s="98">
        <v>192.81378544</v>
      </c>
      <c r="N42" s="98"/>
      <c r="O42" s="96">
        <f>IF(AND(ISBLANK(L42),ISBLANK(M42),ISBLANK(N42))=TRUE,"",L42+M42+N42)</f>
        <v>407.42928543999994</v>
      </c>
      <c r="P42" s="97">
        <v>1605.3140000000001</v>
      </c>
      <c r="Q42" s="96">
        <f>IFERROR(O42/P42*100," ")</f>
        <v>25.380036892470876</v>
      </c>
    </row>
    <row r="43" spans="1:17" ht="25.5" customHeight="1" x14ac:dyDescent="0.3">
      <c r="A43" s="99" t="s">
        <v>23</v>
      </c>
      <c r="B43" s="100">
        <v>93</v>
      </c>
      <c r="C43" s="101">
        <v>298.36666666666667</v>
      </c>
      <c r="D43" s="102">
        <v>89.88</v>
      </c>
      <c r="E43" s="100">
        <v>4900</v>
      </c>
      <c r="F43" s="101">
        <v>4293.3530000000001</v>
      </c>
      <c r="G43" s="101">
        <v>5658.1689999999999</v>
      </c>
      <c r="H43" s="103">
        <f t="shared" si="10"/>
        <v>75.878839956883581</v>
      </c>
      <c r="I43" s="104">
        <v>103.88783000000001</v>
      </c>
      <c r="J43" s="105"/>
      <c r="K43" s="103">
        <f t="shared" ref="K43:K54" si="11">IF(AND(ISBLANK(I43),ISBLANK(J43))=TRUE,"",I43+J43)</f>
        <v>103.88783000000001</v>
      </c>
      <c r="L43" s="104">
        <v>322.00147499999997</v>
      </c>
      <c r="M43" s="105">
        <v>118.46798796000002</v>
      </c>
      <c r="N43" s="105"/>
      <c r="O43" s="103">
        <f t="shared" ref="O43:O54" si="12">IF(AND(ISBLANK(L43),ISBLANK(M43),ISBLANK(N43))=TRUE,"",L43+M43+N43)</f>
        <v>440.46946295999999</v>
      </c>
      <c r="P43" s="104">
        <v>1601.134</v>
      </c>
      <c r="Q43" s="103">
        <f t="shared" ref="Q43:Q54" si="13">IFERROR(O43/P43*100," ")</f>
        <v>27.509843833183229</v>
      </c>
    </row>
    <row r="44" spans="1:17" ht="25.5" customHeight="1" x14ac:dyDescent="0.3">
      <c r="A44" s="92" t="s">
        <v>24</v>
      </c>
      <c r="B44" s="106">
        <v>84</v>
      </c>
      <c r="C44" s="107">
        <v>324.33333333333331</v>
      </c>
      <c r="D44" s="108">
        <v>87.197000000000003</v>
      </c>
      <c r="E44" s="106">
        <v>1158</v>
      </c>
      <c r="F44" s="107">
        <v>698.471</v>
      </c>
      <c r="G44" s="107">
        <v>874.27200000000005</v>
      </c>
      <c r="H44" s="109">
        <f t="shared" si="10"/>
        <v>79.891727059770872</v>
      </c>
      <c r="I44" s="110">
        <v>440.49033000000003</v>
      </c>
      <c r="J44" s="111">
        <v>0</v>
      </c>
      <c r="K44" s="109">
        <f t="shared" si="11"/>
        <v>440.49033000000003</v>
      </c>
      <c r="L44" s="110">
        <v>52.385324999999995</v>
      </c>
      <c r="M44" s="111">
        <v>513.14822907000007</v>
      </c>
      <c r="N44" s="111">
        <v>0</v>
      </c>
      <c r="O44" s="109">
        <f t="shared" si="12"/>
        <v>565.53355407000004</v>
      </c>
      <c r="P44" s="110">
        <v>1562.5005000000001</v>
      </c>
      <c r="Q44" s="109">
        <f t="shared" si="13"/>
        <v>36.194135878356519</v>
      </c>
    </row>
    <row r="45" spans="1:17" ht="25.5" customHeight="1" x14ac:dyDescent="0.3">
      <c r="A45" s="99" t="s">
        <v>25</v>
      </c>
      <c r="B45" s="100">
        <v>57</v>
      </c>
      <c r="C45" s="112">
        <v>241.83333333333334</v>
      </c>
      <c r="D45" s="102">
        <v>71.155999999999992</v>
      </c>
      <c r="E45" s="100">
        <v>327</v>
      </c>
      <c r="F45" s="101">
        <v>354.68200000000002</v>
      </c>
      <c r="G45" s="101">
        <v>409.94099999999997</v>
      </c>
      <c r="H45" s="103">
        <f t="shared" si="10"/>
        <v>86.520255353819223</v>
      </c>
      <c r="I45" s="104">
        <v>289.77</v>
      </c>
      <c r="J45" s="105">
        <v>0</v>
      </c>
      <c r="K45" s="103">
        <f t="shared" si="11"/>
        <v>289.77</v>
      </c>
      <c r="L45" s="104">
        <v>26.601150000000001</v>
      </c>
      <c r="M45" s="105">
        <v>371.6424657099999</v>
      </c>
      <c r="N45" s="105">
        <v>0</v>
      </c>
      <c r="O45" s="103">
        <f t="shared" si="12"/>
        <v>398.24361570999991</v>
      </c>
      <c r="P45" s="104">
        <v>1298.0374999999999</v>
      </c>
      <c r="Q45" s="103">
        <f t="shared" si="13"/>
        <v>30.680439949539203</v>
      </c>
    </row>
    <row r="46" spans="1:17" ht="25.5" customHeight="1" x14ac:dyDescent="0.3">
      <c r="A46" s="92" t="s">
        <v>26</v>
      </c>
      <c r="B46" s="106">
        <v>30</v>
      </c>
      <c r="C46" s="113">
        <v>121.11666666666666</v>
      </c>
      <c r="D46" s="108">
        <v>35.947000000000003</v>
      </c>
      <c r="E46" s="106">
        <v>167</v>
      </c>
      <c r="F46" s="107">
        <v>120.087</v>
      </c>
      <c r="G46" s="107">
        <v>364.32</v>
      </c>
      <c r="H46" s="109">
        <f t="shared" si="10"/>
        <v>32.961956521739133</v>
      </c>
      <c r="I46" s="110">
        <v>176.52831</v>
      </c>
      <c r="J46" s="111"/>
      <c r="K46" s="109">
        <f t="shared" si="11"/>
        <v>176.52831</v>
      </c>
      <c r="L46" s="110">
        <v>9.0065249999999999</v>
      </c>
      <c r="M46" s="111">
        <v>236.96969176999994</v>
      </c>
      <c r="N46" s="111"/>
      <c r="O46" s="109">
        <f t="shared" si="12"/>
        <v>245.97621676999995</v>
      </c>
      <c r="P46" s="110">
        <v>672.50400000000002</v>
      </c>
      <c r="Q46" s="109">
        <f t="shared" si="13"/>
        <v>36.576171557343891</v>
      </c>
    </row>
    <row r="47" spans="1:17" ht="25.5" customHeight="1" x14ac:dyDescent="0.3">
      <c r="A47" s="99" t="s">
        <v>27</v>
      </c>
      <c r="B47" s="114">
        <v>29</v>
      </c>
      <c r="C47" s="115">
        <v>119.26666666666667</v>
      </c>
      <c r="D47" s="102">
        <v>36</v>
      </c>
      <c r="E47" s="114">
        <v>48</v>
      </c>
      <c r="F47" s="115">
        <v>20</v>
      </c>
      <c r="G47" s="115">
        <v>73</v>
      </c>
      <c r="H47" s="103">
        <f t="shared" si="10"/>
        <v>27.397260273972602</v>
      </c>
      <c r="I47" s="116">
        <v>117.08881000000001</v>
      </c>
      <c r="J47" s="117">
        <v>0</v>
      </c>
      <c r="K47" s="103">
        <f t="shared" si="11"/>
        <v>117.08881000000001</v>
      </c>
      <c r="L47" s="116">
        <v>1</v>
      </c>
      <c r="M47" s="117">
        <v>149</v>
      </c>
      <c r="N47" s="117"/>
      <c r="O47" s="103">
        <f t="shared" si="12"/>
        <v>150</v>
      </c>
      <c r="P47" s="116">
        <v>665</v>
      </c>
      <c r="Q47" s="103">
        <f t="shared" si="13"/>
        <v>22.556390977443609</v>
      </c>
    </row>
    <row r="48" spans="1:17" s="125" customFormat="1" ht="25.5" customHeight="1" x14ac:dyDescent="0.3">
      <c r="A48" s="118" t="s">
        <v>28</v>
      </c>
      <c r="B48" s="119">
        <v>21</v>
      </c>
      <c r="C48" s="120">
        <v>66</v>
      </c>
      <c r="D48" s="121">
        <v>21.315999999999999</v>
      </c>
      <c r="E48" s="119">
        <v>1124</v>
      </c>
      <c r="F48" s="120">
        <v>735.17</v>
      </c>
      <c r="G48" s="120">
        <v>1070.3340000000001</v>
      </c>
      <c r="H48" s="122">
        <f t="shared" si="10"/>
        <v>68.686036321372569</v>
      </c>
      <c r="I48" s="123">
        <v>54.698419999999999</v>
      </c>
      <c r="J48" s="124"/>
      <c r="K48" s="122">
        <f t="shared" si="11"/>
        <v>54.698419999999999</v>
      </c>
      <c r="L48" s="123">
        <v>55.137749999999997</v>
      </c>
      <c r="M48" s="124">
        <v>70.992417460000013</v>
      </c>
      <c r="N48" s="124"/>
      <c r="O48" s="122">
        <f t="shared" si="12"/>
        <v>126.13016746000001</v>
      </c>
      <c r="P48" s="123">
        <v>375.58499999999998</v>
      </c>
      <c r="Q48" s="122">
        <f t="shared" si="13"/>
        <v>33.582322898944319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>
        <v>5</v>
      </c>
      <c r="C50" s="128">
        <v>7.166666666666667</v>
      </c>
      <c r="D50" s="129">
        <v>4.4939999999999998</v>
      </c>
      <c r="E50" s="127">
        <v>456</v>
      </c>
      <c r="F50" s="128">
        <v>371.16899999999998</v>
      </c>
      <c r="G50" s="128">
        <v>913.39800000000002</v>
      </c>
      <c r="H50" s="109">
        <f t="shared" si="10"/>
        <v>40.636064453830642</v>
      </c>
      <c r="I50" s="130"/>
      <c r="J50" s="131"/>
      <c r="K50" s="109" t="str">
        <f t="shared" si="11"/>
        <v/>
      </c>
      <c r="L50" s="130">
        <v>27.837675000000001</v>
      </c>
      <c r="M50" s="131">
        <v>0</v>
      </c>
      <c r="N50" s="131"/>
      <c r="O50" s="109">
        <f t="shared" si="12"/>
        <v>27.837675000000001</v>
      </c>
      <c r="P50" s="130">
        <v>80.256</v>
      </c>
      <c r="Q50" s="109">
        <f t="shared" si="13"/>
        <v>34.686098235645936</v>
      </c>
    </row>
    <row r="51" spans="1:17" ht="25.5" customHeight="1" x14ac:dyDescent="0.3">
      <c r="A51" s="99" t="s">
        <v>31</v>
      </c>
      <c r="B51" s="114">
        <v>9</v>
      </c>
      <c r="C51" s="115">
        <v>11.6</v>
      </c>
      <c r="D51" s="126">
        <v>6.6760000000000002</v>
      </c>
      <c r="E51" s="114">
        <v>719</v>
      </c>
      <c r="F51" s="115">
        <v>549.09199999999998</v>
      </c>
      <c r="G51" s="115">
        <v>1181.0070000000001</v>
      </c>
      <c r="H51" s="103">
        <f t="shared" si="10"/>
        <v>46.493543222013074</v>
      </c>
      <c r="I51" s="116">
        <v>0</v>
      </c>
      <c r="J51" s="117"/>
      <c r="K51" s="103">
        <f t="shared" si="11"/>
        <v>0</v>
      </c>
      <c r="L51" s="116">
        <v>41.181899999999992</v>
      </c>
      <c r="M51" s="117"/>
      <c r="N51" s="117"/>
      <c r="O51" s="103">
        <f t="shared" si="12"/>
        <v>41.181899999999992</v>
      </c>
      <c r="P51" s="116">
        <v>100.62050000000001</v>
      </c>
      <c r="Q51" s="103">
        <f t="shared" si="13"/>
        <v>40.927942119150657</v>
      </c>
    </row>
    <row r="52" spans="1:17" ht="25.5" customHeight="1" x14ac:dyDescent="0.3">
      <c r="A52" s="92" t="s">
        <v>32</v>
      </c>
      <c r="B52" s="127">
        <v>15</v>
      </c>
      <c r="C52" s="128">
        <v>20.066666666666666</v>
      </c>
      <c r="D52" s="129">
        <v>12.347</v>
      </c>
      <c r="E52" s="127">
        <v>2226</v>
      </c>
      <c r="F52" s="128">
        <v>1936.7439999999999</v>
      </c>
      <c r="G52" s="128">
        <v>2242.4639999999999</v>
      </c>
      <c r="H52" s="109">
        <f t="shared" si="10"/>
        <v>86.366782253806534</v>
      </c>
      <c r="I52" s="130">
        <v>0</v>
      </c>
      <c r="J52" s="131">
        <v>0</v>
      </c>
      <c r="K52" s="109">
        <f t="shared" si="11"/>
        <v>0</v>
      </c>
      <c r="L52" s="130">
        <v>145.25579999999999</v>
      </c>
      <c r="M52" s="131"/>
      <c r="N52" s="131"/>
      <c r="O52" s="109">
        <f t="shared" si="12"/>
        <v>145.25579999999999</v>
      </c>
      <c r="P52" s="130">
        <v>197.03749999999999</v>
      </c>
      <c r="Q52" s="109">
        <f t="shared" si="13"/>
        <v>73.719875658186893</v>
      </c>
    </row>
    <row r="53" spans="1:17" ht="25.5" customHeight="1" x14ac:dyDescent="0.3">
      <c r="A53" s="99" t="s">
        <v>33</v>
      </c>
      <c r="B53" s="132">
        <v>20</v>
      </c>
      <c r="C53" s="133">
        <v>31.55</v>
      </c>
      <c r="D53" s="134">
        <v>20.292000000000002</v>
      </c>
      <c r="E53" s="132">
        <v>2684</v>
      </c>
      <c r="F53" s="133">
        <v>2987.2710000000002</v>
      </c>
      <c r="G53" s="133">
        <v>3579.9389999999999</v>
      </c>
      <c r="H53" s="135">
        <f t="shared" si="10"/>
        <v>83.444745846228116</v>
      </c>
      <c r="I53" s="136"/>
      <c r="J53" s="137"/>
      <c r="K53" s="135" t="str">
        <f t="shared" si="11"/>
        <v/>
      </c>
      <c r="L53" s="136">
        <v>224.04532499999999</v>
      </c>
      <c r="M53" s="137"/>
      <c r="N53" s="137"/>
      <c r="O53" s="135">
        <f t="shared" si="12"/>
        <v>224.04532499999999</v>
      </c>
      <c r="P53" s="136">
        <v>309.83249999999998</v>
      </c>
      <c r="Q53" s="135">
        <f t="shared" si="13"/>
        <v>72.311757159110172</v>
      </c>
    </row>
    <row r="54" spans="1:17" ht="25.5" customHeight="1" x14ac:dyDescent="0.3">
      <c r="A54" s="138" t="s">
        <v>34</v>
      </c>
      <c r="B54" s="139">
        <f t="shared" ref="B54:G54" si="14">SUM(B42:B53)</f>
        <v>451</v>
      </c>
      <c r="C54" s="139">
        <f t="shared" si="14"/>
        <v>1503.3999999999996</v>
      </c>
      <c r="D54" s="139">
        <f t="shared" si="14"/>
        <v>475.42099999999994</v>
      </c>
      <c r="E54" s="139">
        <f t="shared" si="14"/>
        <v>17883</v>
      </c>
      <c r="F54" s="139">
        <f t="shared" si="14"/>
        <v>14927.579000000002</v>
      </c>
      <c r="G54" s="139">
        <f t="shared" si="14"/>
        <v>20283.103999999999</v>
      </c>
      <c r="H54" s="140">
        <f t="shared" si="10"/>
        <v>73.596127101650723</v>
      </c>
      <c r="I54" s="140">
        <f>SUM(I42:I53)</f>
        <v>1320.1085699999999</v>
      </c>
      <c r="J54" s="140">
        <f>SUM(J42:J53)</f>
        <v>0</v>
      </c>
      <c r="K54" s="140">
        <f t="shared" si="11"/>
        <v>1320.1085699999999</v>
      </c>
      <c r="L54" s="140">
        <f>SUM(L42:L53)</f>
        <v>1119.0684249999999</v>
      </c>
      <c r="M54" s="140">
        <f>SUM(M42:M53)</f>
        <v>1653.0345774100001</v>
      </c>
      <c r="N54" s="140">
        <f>SUM(N42:N53)</f>
        <v>0</v>
      </c>
      <c r="O54" s="140">
        <f t="shared" si="12"/>
        <v>2772.10300241</v>
      </c>
      <c r="P54" s="141">
        <f>SUM(P42:P53)</f>
        <v>8467.8215000000018</v>
      </c>
      <c r="Q54" s="140">
        <f t="shared" si="13"/>
        <v>32.736908807182573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>
        <v>106</v>
      </c>
      <c r="C61" s="152">
        <v>454.06666666666666</v>
      </c>
      <c r="D61" s="153">
        <v>214.91299999999998</v>
      </c>
      <c r="E61" s="151">
        <v>559</v>
      </c>
      <c r="F61" s="152">
        <v>1075.701</v>
      </c>
      <c r="G61" s="152">
        <v>1091.097</v>
      </c>
      <c r="H61" s="154">
        <f t="shared" ref="H61:H73" si="15">IFERROR(F61/G61*100," ")</f>
        <v>98.588943054558854</v>
      </c>
      <c r="I61" s="155">
        <v>216.45492000000002</v>
      </c>
      <c r="J61" s="156"/>
      <c r="K61" s="156">
        <f>IF(AND(ISBLANK(I61),ISBLANK(J61))=TRUE,"",I61+J61)</f>
        <v>216.45492000000002</v>
      </c>
      <c r="L61" s="155">
        <v>80.67757499999999</v>
      </c>
      <c r="M61" s="156">
        <v>476.17813396999992</v>
      </c>
      <c r="N61" s="156"/>
      <c r="O61" s="157">
        <f>IF(AND(ISBLANK(L61),ISBLANK(M61),ISBLANK(N61))=TRUE,"",L61+M61+N61)</f>
        <v>556.85570896999991</v>
      </c>
      <c r="P61" s="156">
        <v>4089.12</v>
      </c>
      <c r="Q61" s="154">
        <f>IFERROR(O61/P61*100," ")</f>
        <v>13.617984039842312</v>
      </c>
    </row>
    <row r="62" spans="1:17" ht="24.75" customHeight="1" x14ac:dyDescent="0.3">
      <c r="A62" s="99" t="s">
        <v>23</v>
      </c>
      <c r="B62" s="114">
        <v>70</v>
      </c>
      <c r="C62" s="115">
        <v>297.11666666666667</v>
      </c>
      <c r="D62" s="126">
        <v>149.98299999999998</v>
      </c>
      <c r="E62" s="114">
        <v>1414</v>
      </c>
      <c r="F62" s="115">
        <v>3611.3560000000002</v>
      </c>
      <c r="G62" s="115">
        <v>3853.9859999999999</v>
      </c>
      <c r="H62" s="158">
        <f t="shared" si="15"/>
        <v>93.704440026507626</v>
      </c>
      <c r="I62" s="116">
        <v>123.57850000000001</v>
      </c>
      <c r="J62" s="117"/>
      <c r="K62" s="117">
        <f t="shared" ref="K62:K73" si="16">IF(AND(ISBLANK(I62),ISBLANK(J62))=TRUE,"",I62+J62)</f>
        <v>123.57850000000001</v>
      </c>
      <c r="L62" s="116">
        <v>270.85169999999999</v>
      </c>
      <c r="M62" s="117">
        <v>304.17586807999999</v>
      </c>
      <c r="N62" s="117"/>
      <c r="O62" s="103">
        <f t="shared" ref="O62:O73" si="17">IF(AND(ISBLANK(L62),ISBLANK(M62),ISBLANK(N62))=TRUE,"",L62+M62+N62)</f>
        <v>575.02756808000004</v>
      </c>
      <c r="P62" s="117">
        <v>2859.893</v>
      </c>
      <c r="Q62" s="158">
        <f t="shared" ref="Q62:Q73" si="18">IFERROR(O62/P62*100," ")</f>
        <v>20.106611264127714</v>
      </c>
    </row>
    <row r="63" spans="1:17" ht="24.75" customHeight="1" x14ac:dyDescent="0.3">
      <c r="A63" s="150" t="s">
        <v>24</v>
      </c>
      <c r="B63" s="159">
        <v>104</v>
      </c>
      <c r="C63" s="160">
        <v>450.66666666666669</v>
      </c>
      <c r="D63" s="161">
        <v>205.81700000000001</v>
      </c>
      <c r="E63" s="159">
        <v>0</v>
      </c>
      <c r="F63" s="160">
        <v>0</v>
      </c>
      <c r="G63" s="160">
        <v>0</v>
      </c>
      <c r="H63" s="162" t="str">
        <f t="shared" si="15"/>
        <v xml:space="preserve"> </v>
      </c>
      <c r="I63" s="163">
        <v>867.33653000000004</v>
      </c>
      <c r="J63" s="164"/>
      <c r="K63" s="164">
        <f t="shared" si="16"/>
        <v>867.33653000000004</v>
      </c>
      <c r="L63" s="163">
        <v>0</v>
      </c>
      <c r="M63" s="164">
        <v>1755.2603835900002</v>
      </c>
      <c r="N63" s="164"/>
      <c r="O63" s="165">
        <f t="shared" si="17"/>
        <v>1755.2603835900002</v>
      </c>
      <c r="P63" s="164">
        <v>3910.5230000000001</v>
      </c>
      <c r="Q63" s="162">
        <f t="shared" si="18"/>
        <v>44.885566037842004</v>
      </c>
    </row>
    <row r="64" spans="1:17" ht="24.75" customHeight="1" x14ac:dyDescent="0.3">
      <c r="A64" s="99" t="s">
        <v>25</v>
      </c>
      <c r="B64" s="114">
        <v>107</v>
      </c>
      <c r="C64" s="115">
        <v>463.66666666666669</v>
      </c>
      <c r="D64" s="126">
        <v>205.874</v>
      </c>
      <c r="E64" s="114">
        <v>0</v>
      </c>
      <c r="F64" s="115">
        <v>0</v>
      </c>
      <c r="G64" s="115">
        <v>0</v>
      </c>
      <c r="H64" s="158" t="str">
        <f t="shared" si="15"/>
        <v xml:space="preserve"> </v>
      </c>
      <c r="I64" s="116">
        <v>847.47447999999997</v>
      </c>
      <c r="J64" s="117">
        <v>0</v>
      </c>
      <c r="K64" s="117">
        <f t="shared" si="16"/>
        <v>847.47447999999997</v>
      </c>
      <c r="L64" s="116">
        <v>0</v>
      </c>
      <c r="M64" s="117">
        <v>1690.45045344</v>
      </c>
      <c r="N64" s="117">
        <v>0</v>
      </c>
      <c r="O64" s="103">
        <f t="shared" si="17"/>
        <v>1690.45045344</v>
      </c>
      <c r="P64" s="117">
        <v>3911.6060000000002</v>
      </c>
      <c r="Q64" s="158">
        <f t="shared" si="18"/>
        <v>43.216276215958352</v>
      </c>
    </row>
    <row r="65" spans="1:17" ht="24.75" customHeight="1" x14ac:dyDescent="0.3">
      <c r="A65" s="150" t="s">
        <v>26</v>
      </c>
      <c r="B65" s="159">
        <v>117</v>
      </c>
      <c r="C65" s="160">
        <v>605.88333333333333</v>
      </c>
      <c r="D65" s="161">
        <v>339.91800000000001</v>
      </c>
      <c r="E65" s="159">
        <v>12242</v>
      </c>
      <c r="F65" s="160">
        <v>51615.133000000002</v>
      </c>
      <c r="G65" s="160">
        <v>54170.991000000002</v>
      </c>
      <c r="H65" s="162">
        <f t="shared" si="15"/>
        <v>95.281869589574242</v>
      </c>
      <c r="I65" s="163">
        <v>562.75878</v>
      </c>
      <c r="J65" s="164"/>
      <c r="K65" s="164">
        <f t="shared" si="16"/>
        <v>562.75878</v>
      </c>
      <c r="L65" s="163">
        <v>3871.1349749999999</v>
      </c>
      <c r="M65" s="164">
        <v>1131.5756444499998</v>
      </c>
      <c r="N65" s="164"/>
      <c r="O65" s="165">
        <f t="shared" si="17"/>
        <v>5002.7106194499993</v>
      </c>
      <c r="P65" s="164">
        <v>9706.5650000000005</v>
      </c>
      <c r="Q65" s="162">
        <f t="shared" si="18"/>
        <v>51.539454167875029</v>
      </c>
    </row>
    <row r="66" spans="1:17" ht="24.75" customHeight="1" x14ac:dyDescent="0.3">
      <c r="A66" s="99" t="s">
        <v>27</v>
      </c>
      <c r="B66" s="114">
        <v>101</v>
      </c>
      <c r="C66" s="115">
        <v>465.88333333333333</v>
      </c>
      <c r="D66" s="126">
        <v>227</v>
      </c>
      <c r="E66" s="114">
        <v>4658</v>
      </c>
      <c r="F66" s="115">
        <v>17922.725999999999</v>
      </c>
      <c r="G66" s="115">
        <v>18165.653999999999</v>
      </c>
      <c r="H66" s="158">
        <f t="shared" si="15"/>
        <v>98.662707106498885</v>
      </c>
      <c r="I66" s="116">
        <v>818.74</v>
      </c>
      <c r="J66" s="117"/>
      <c r="K66" s="117">
        <f t="shared" si="16"/>
        <v>818.74</v>
      </c>
      <c r="L66" s="116">
        <v>1344</v>
      </c>
      <c r="M66" s="117">
        <v>1611</v>
      </c>
      <c r="N66" s="117"/>
      <c r="O66" s="103">
        <f t="shared" si="17"/>
        <v>2955</v>
      </c>
      <c r="P66" s="117">
        <v>5592</v>
      </c>
      <c r="Q66" s="158">
        <f t="shared" si="18"/>
        <v>52.843347639484982</v>
      </c>
    </row>
    <row r="67" spans="1:17" ht="24.75" customHeight="1" x14ac:dyDescent="0.3">
      <c r="A67" s="150" t="s">
        <v>28</v>
      </c>
      <c r="B67" s="159">
        <v>46</v>
      </c>
      <c r="C67" s="160">
        <v>6878.7333333333327</v>
      </c>
      <c r="D67" s="161">
        <v>164.10999999999999</v>
      </c>
      <c r="E67" s="159">
        <v>7522</v>
      </c>
      <c r="F67" s="160">
        <v>33201.885000000002</v>
      </c>
      <c r="G67" s="160">
        <v>35771.112000000001</v>
      </c>
      <c r="H67" s="162">
        <f t="shared" si="15"/>
        <v>92.817592587001499</v>
      </c>
      <c r="I67" s="163">
        <v>137.726</v>
      </c>
      <c r="J67" s="164"/>
      <c r="K67" s="164">
        <f t="shared" si="16"/>
        <v>137.726</v>
      </c>
      <c r="L67" s="163">
        <v>2490.1413750000006</v>
      </c>
      <c r="M67" s="164">
        <v>260.67245599999995</v>
      </c>
      <c r="N67" s="164"/>
      <c r="O67" s="165">
        <f t="shared" si="17"/>
        <v>2750.8138310000004</v>
      </c>
      <c r="P67" s="164">
        <v>5050.41</v>
      </c>
      <c r="Q67" s="162">
        <f t="shared" si="18"/>
        <v>54.467138925354583</v>
      </c>
    </row>
    <row r="68" spans="1:17" ht="24.75" customHeight="1" x14ac:dyDescent="0.3">
      <c r="A68" s="99" t="s">
        <v>29</v>
      </c>
      <c r="B68" s="114">
        <v>2</v>
      </c>
      <c r="C68" s="115">
        <v>8.4166666666666661</v>
      </c>
      <c r="D68" s="126">
        <v>6.3520000000000003</v>
      </c>
      <c r="E68" s="114">
        <v>338</v>
      </c>
      <c r="F68" s="115">
        <v>1073.4880000000001</v>
      </c>
      <c r="G68" s="115">
        <v>1143.3599999999999</v>
      </c>
      <c r="H68" s="158">
        <f t="shared" si="15"/>
        <v>93.8888888888889</v>
      </c>
      <c r="I68" s="116"/>
      <c r="J68" s="117"/>
      <c r="K68" s="117" t="str">
        <f t="shared" si="16"/>
        <v/>
      </c>
      <c r="L68" s="116">
        <v>80.511600000000001</v>
      </c>
      <c r="M68" s="117"/>
      <c r="N68" s="117"/>
      <c r="O68" s="103">
        <f t="shared" si="17"/>
        <v>80.511600000000001</v>
      </c>
      <c r="P68" s="117">
        <v>101.63200000000001</v>
      </c>
      <c r="Q68" s="158">
        <f t="shared" si="18"/>
        <v>79.21875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>
        <v>2</v>
      </c>
      <c r="C70" s="115">
        <v>6.166666666666667</v>
      </c>
      <c r="D70" s="126">
        <v>4.1559999999999997</v>
      </c>
      <c r="E70" s="114">
        <v>152</v>
      </c>
      <c r="F70" s="115">
        <v>315.85599999999999</v>
      </c>
      <c r="G70" s="115">
        <v>785.48400000000004</v>
      </c>
      <c r="H70" s="158">
        <f t="shared" si="15"/>
        <v>40.211640211640209</v>
      </c>
      <c r="I70" s="116">
        <v>0</v>
      </c>
      <c r="J70" s="117"/>
      <c r="K70" s="117">
        <f t="shared" si="16"/>
        <v>0</v>
      </c>
      <c r="L70" s="116">
        <v>23.6892</v>
      </c>
      <c r="M70" s="117"/>
      <c r="N70" s="117"/>
      <c r="O70" s="103">
        <f t="shared" si="17"/>
        <v>23.6892</v>
      </c>
      <c r="P70" s="117">
        <v>66.495999999999995</v>
      </c>
      <c r="Q70" s="158">
        <f t="shared" si="18"/>
        <v>35.625</v>
      </c>
    </row>
    <row r="71" spans="1:17" ht="24.75" customHeight="1" x14ac:dyDescent="0.3">
      <c r="A71" s="150" t="s">
        <v>32</v>
      </c>
      <c r="B71" s="159">
        <v>4</v>
      </c>
      <c r="C71" s="160">
        <v>12.6</v>
      </c>
      <c r="D71" s="161">
        <v>8.718</v>
      </c>
      <c r="E71" s="159">
        <v>650</v>
      </c>
      <c r="F71" s="160">
        <v>1416.7090000000001</v>
      </c>
      <c r="G71" s="160">
        <v>1595.4960000000001</v>
      </c>
      <c r="H71" s="162">
        <f t="shared" si="15"/>
        <v>88.79426836544873</v>
      </c>
      <c r="I71" s="163">
        <v>0</v>
      </c>
      <c r="J71" s="164">
        <v>0</v>
      </c>
      <c r="K71" s="164">
        <f t="shared" si="16"/>
        <v>0</v>
      </c>
      <c r="L71" s="163">
        <v>106.253175</v>
      </c>
      <c r="M71" s="164"/>
      <c r="N71" s="164"/>
      <c r="O71" s="165">
        <f t="shared" si="17"/>
        <v>106.253175</v>
      </c>
      <c r="P71" s="164">
        <v>139.488</v>
      </c>
      <c r="Q71" s="162">
        <f t="shared" si="18"/>
        <v>76.173703114246379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659</v>
      </c>
      <c r="C73" s="167">
        <f t="shared" si="19"/>
        <v>9643.1999999999989</v>
      </c>
      <c r="D73" s="167">
        <f t="shared" si="19"/>
        <v>1526.8410000000001</v>
      </c>
      <c r="E73" s="167">
        <f t="shared" si="19"/>
        <v>27535</v>
      </c>
      <c r="F73" s="167">
        <f t="shared" si="19"/>
        <v>110232.85400000001</v>
      </c>
      <c r="G73" s="167">
        <f t="shared" si="19"/>
        <v>116577.18</v>
      </c>
      <c r="H73" s="168">
        <f t="shared" si="15"/>
        <v>94.557831987358085</v>
      </c>
      <c r="I73" s="169">
        <f>SUM(I61:I72)</f>
        <v>3574.0692100000001</v>
      </c>
      <c r="J73" s="169">
        <f>SUM(J61:J72)</f>
        <v>0</v>
      </c>
      <c r="K73" s="169">
        <f t="shared" si="16"/>
        <v>3574.0692100000001</v>
      </c>
      <c r="L73" s="169">
        <f>SUM(L61:L72)</f>
        <v>8267.2596000000012</v>
      </c>
      <c r="M73" s="169">
        <f>SUM(M61:M72)</f>
        <v>7229.3129395300002</v>
      </c>
      <c r="N73" s="169">
        <f>SUM(N61:N72)</f>
        <v>0</v>
      </c>
      <c r="O73" s="169">
        <f t="shared" si="17"/>
        <v>15496.572539530001</v>
      </c>
      <c r="P73" s="169">
        <f>SUM(P61:P72)</f>
        <v>35427.732999999993</v>
      </c>
      <c r="Q73" s="168">
        <f t="shared" si="18"/>
        <v>43.741360869830437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2025-01-16T09:04:11Z</dcterms:created>
  <dcterms:modified xsi:type="dcterms:W3CDTF">2025-01-16T09:04:30Z</dcterms:modified>
</cp:coreProperties>
</file>