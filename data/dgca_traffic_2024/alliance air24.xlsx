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9630" windowHeight="5070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O16" i="2"/>
  <c r="Q16" i="2" s="1"/>
  <c r="N16" i="2"/>
  <c r="M16" i="2"/>
  <c r="L16" i="2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<sst xmlns="http://schemas.openxmlformats.org/spreadsheetml/2006/main" count="153" uniqueCount="42">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</sst>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7" transitionEvaluation="1" transitionEntry="1" codeName="Sheet12"/>
  <dimension ref="A1:Q494"/>
  <sheetViews>
    <sheetView showGridLines="0" tabSelected="1" view="pageBreakPreview" topLeftCell="A67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2712</v>
      </c>
      <c r="C4" s="12">
        <v>3648</v>
      </c>
      <c r="D4" s="13">
        <v>1016.259</v>
      </c>
      <c r="E4" s="14">
        <v>132650</v>
      </c>
      <c r="F4" s="12">
        <v>53130.559000000001</v>
      </c>
      <c r="G4" s="12">
        <v>66318.095000000001</v>
      </c>
      <c r="H4" s="15">
        <f>IFERROR(F4/G4*100," ")</f>
        <v>80.114724344841321</v>
      </c>
      <c r="I4" s="16">
        <v>10.971000000000002</v>
      </c>
      <c r="J4" s="17">
        <v>2.516</v>
      </c>
      <c r="K4" s="15">
        <f>IF(AND(ISBLANK(I4),ISBLANK(J4))=TRUE,"",I4+J4)</f>
        <v>13.487000000000002</v>
      </c>
      <c r="L4" s="16">
        <v>4834.8808690000014</v>
      </c>
      <c r="M4" s="17">
        <v>5.4699901810589528</v>
      </c>
      <c r="N4" s="17">
        <v>1.086681</v>
      </c>
      <c r="O4" s="15">
        <f>IF(AND(ISBLANK(L4),ISBLANK(M4),ISBLANK(N4))=TRUE,"",L4+M4+N4)</f>
        <v>4841.4375401810603</v>
      </c>
      <c r="P4" s="17">
        <v>6722.7511999999942</v>
      </c>
      <c r="Q4" s="15">
        <f>IFERROR(O4/P4*100," ")</f>
        <v>72.015717912944098</v>
      </c>
    </row>
    <row r="5" spans="1:17" ht="23.1" customHeight="1" x14ac:dyDescent="0.3">
      <c r="A5" s="18" t="s">
        <v>23</v>
      </c>
      <c r="B5" s="19">
        <v>2664</v>
      </c>
      <c r="C5" s="19">
        <v>3563</v>
      </c>
      <c r="D5" s="18">
        <v>994.00400000000002</v>
      </c>
      <c r="E5" s="20">
        <v>129279</v>
      </c>
      <c r="F5" s="19">
        <v>51364.544000000002</v>
      </c>
      <c r="G5" s="19">
        <v>64966.572999999997</v>
      </c>
      <c r="H5" s="21">
        <f t="shared" ref="H5:H16" si="0">IFERROR(F5/G5*100," ")</f>
        <v>79.063034462353443</v>
      </c>
      <c r="I5" s="22">
        <v>13.259</v>
      </c>
      <c r="J5" s="23">
        <v>0.252</v>
      </c>
      <c r="K5" s="21">
        <f t="shared" ref="K5:K16" si="1">IF(AND(ISBLANK(I5),ISBLANK(J5))=TRUE,"",I5+J5)</f>
        <v>13.511000000000001</v>
      </c>
      <c r="L5" s="22">
        <v>4674.1734999999999</v>
      </c>
      <c r="M5" s="23">
        <v>6.3536259904761909</v>
      </c>
      <c r="N5" s="23">
        <v>0.10256399999999999</v>
      </c>
      <c r="O5" s="21">
        <f t="shared" ref="O5:O16" si="2">IF(AND(ISBLANK(L5),ISBLANK(M5),ISBLANK(N5))=TRUE,"",L5+M5+N5)</f>
        <v>4680.6296899904755</v>
      </c>
      <c r="P5" s="23">
        <v>6567.2352000000001</v>
      </c>
      <c r="Q5" s="21">
        <f t="shared" ref="Q5:Q16" si="3">IFERROR(O5/P5*100," ")</f>
        <v>71.272454045661036</v>
      </c>
    </row>
    <row r="6" spans="1:17" ht="23.1" customHeight="1" x14ac:dyDescent="0.3">
      <c r="A6" s="24" t="s">
        <v>24</v>
      </c>
      <c r="B6" s="25">
        <v>2968</v>
      </c>
      <c r="C6" s="25">
        <v>3953</v>
      </c>
      <c r="D6" s="24">
        <v>1100.836</v>
      </c>
      <c r="E6" s="26">
        <v>140154</v>
      </c>
      <c r="F6" s="25">
        <v>55778.508999999998</v>
      </c>
      <c r="G6" s="25">
        <v>71425.846000000005</v>
      </c>
      <c r="H6" s="27">
        <f t="shared" si="0"/>
        <v>78.092892312399059</v>
      </c>
      <c r="I6" s="28">
        <v>13.108000000000001</v>
      </c>
      <c r="J6" s="29">
        <v>0.22999999999999998</v>
      </c>
      <c r="K6" s="27">
        <f t="shared" si="1"/>
        <v>13.338000000000001</v>
      </c>
      <c r="L6" s="28">
        <v>5075.8442999999997</v>
      </c>
      <c r="M6" s="29">
        <v>6.3217560390011087</v>
      </c>
      <c r="N6" s="29">
        <v>9.3609999999999999E-2</v>
      </c>
      <c r="O6" s="27">
        <f t="shared" si="2"/>
        <v>5082.2596660390009</v>
      </c>
      <c r="P6" s="29">
        <v>7222.9088000000002</v>
      </c>
      <c r="Q6" s="27">
        <f t="shared" si="3"/>
        <v>70.363060184824718</v>
      </c>
    </row>
    <row r="7" spans="1:17" ht="23.1" customHeight="1" x14ac:dyDescent="0.3">
      <c r="A7" s="18" t="s">
        <v>25</v>
      </c>
      <c r="B7" s="19">
        <v>2708</v>
      </c>
      <c r="C7" s="19">
        <v>3671</v>
      </c>
      <c r="D7" s="18">
        <v>1007.477</v>
      </c>
      <c r="E7" s="20">
        <v>127836</v>
      </c>
      <c r="F7" s="19">
        <v>50827.803999999996</v>
      </c>
      <c r="G7" s="19">
        <v>64295.949000000001</v>
      </c>
      <c r="H7" s="21">
        <f t="shared" si="0"/>
        <v>79.0528871422366</v>
      </c>
      <c r="I7" s="22">
        <v>6.8540000000000001</v>
      </c>
      <c r="J7" s="23">
        <v>0.26200000000000001</v>
      </c>
      <c r="K7" s="21">
        <f t="shared" si="1"/>
        <v>7.1159999999999997</v>
      </c>
      <c r="L7" s="22">
        <v>4625.3302000000003</v>
      </c>
      <c r="M7" s="23">
        <v>3.1409173289054015</v>
      </c>
      <c r="N7" s="23">
        <v>0.10663400000000001</v>
      </c>
      <c r="O7" s="21">
        <f t="shared" si="2"/>
        <v>4628.5777513289058</v>
      </c>
      <c r="P7" s="23">
        <v>6582.0475999999971</v>
      </c>
      <c r="Q7" s="21">
        <f t="shared" si="3"/>
        <v>70.32124397473072</v>
      </c>
    </row>
    <row r="8" spans="1:17" s="30" customFormat="1" ht="30" customHeight="1" x14ac:dyDescent="0.25">
      <c r="A8" s="24" t="s">
        <v>26</v>
      </c>
      <c r="B8" s="25">
        <v>2837</v>
      </c>
      <c r="C8" s="25">
        <v>3893</v>
      </c>
      <c r="D8" s="24">
        <v>1055.7070000000001</v>
      </c>
      <c r="E8" s="26">
        <v>135176</v>
      </c>
      <c r="F8" s="25">
        <v>53532.269</v>
      </c>
      <c r="G8" s="25">
        <v>67436.581999999995</v>
      </c>
      <c r="H8" s="27">
        <f t="shared" si="0"/>
        <v>79.381646299926658</v>
      </c>
      <c r="I8" s="28">
        <v>6.6289999999999996</v>
      </c>
      <c r="J8" s="29">
        <v>9.1999999999999998E-2</v>
      </c>
      <c r="K8" s="27">
        <f t="shared" si="1"/>
        <v>6.7209999999999992</v>
      </c>
      <c r="L8" s="28">
        <v>4874.6885080065513</v>
      </c>
      <c r="M8" s="29">
        <v>3.2149999999999999</v>
      </c>
      <c r="N8" s="29">
        <v>3.7444000000000005E-2</v>
      </c>
      <c r="O8" s="27">
        <f t="shared" si="2"/>
        <v>4877.940952006551</v>
      </c>
      <c r="P8" s="29">
        <v>6923.6535999999996</v>
      </c>
      <c r="Q8" s="27">
        <f t="shared" si="3"/>
        <v>70.453278483004283</v>
      </c>
    </row>
    <row r="9" spans="1:17" ht="23.1" customHeight="1" x14ac:dyDescent="0.3">
      <c r="A9" s="18" t="s">
        <v>27</v>
      </c>
      <c r="B9" s="19">
        <v>2869</v>
      </c>
      <c r="C9" s="19">
        <v>3893</v>
      </c>
      <c r="D9" s="18">
        <v>1052.3900000000001</v>
      </c>
      <c r="E9" s="20">
        <v>133913</v>
      </c>
      <c r="F9" s="19">
        <v>51895.877999999997</v>
      </c>
      <c r="G9" s="19">
        <v>66001.498999999996</v>
      </c>
      <c r="H9" s="21">
        <f t="shared" si="0"/>
        <v>78.628332365602787</v>
      </c>
      <c r="I9" s="22">
        <v>1.498</v>
      </c>
      <c r="J9" s="23">
        <v>0</v>
      </c>
      <c r="K9" s="21">
        <f t="shared" si="1"/>
        <v>1.498</v>
      </c>
      <c r="L9" s="22">
        <v>4722.5249000000003</v>
      </c>
      <c r="M9" s="23">
        <v>0.77900000000000003</v>
      </c>
      <c r="N9" s="23">
        <v>0</v>
      </c>
      <c r="O9" s="21">
        <f t="shared" si="2"/>
        <v>4723.3039000000008</v>
      </c>
      <c r="P9" s="23">
        <v>6882.9599999999964</v>
      </c>
      <c r="Q9" s="21">
        <f t="shared" si="3"/>
        <v>68.62314905215203</v>
      </c>
    </row>
    <row r="10" spans="1:17" ht="23.1" customHeight="1" x14ac:dyDescent="0.3">
      <c r="A10" s="24" t="s">
        <v>28</v>
      </c>
      <c r="B10" s="25">
        <v>2640</v>
      </c>
      <c r="C10" s="25">
        <v>3627</v>
      </c>
      <c r="D10" s="24">
        <v>985.05200000000002</v>
      </c>
      <c r="E10" s="26">
        <v>120815</v>
      </c>
      <c r="F10" s="25">
        <v>47143.065999999999</v>
      </c>
      <c r="G10" s="25">
        <v>62341.487000000001</v>
      </c>
      <c r="H10" s="27">
        <f t="shared" si="0"/>
        <v>75.620695412671182</v>
      </c>
      <c r="I10" s="28">
        <v>4.6459999999999999</v>
      </c>
      <c r="J10" s="29"/>
      <c r="K10" s="27">
        <f t="shared" si="1"/>
        <v>4.6459999999999999</v>
      </c>
      <c r="L10" s="28">
        <v>4290.0190000000002</v>
      </c>
      <c r="M10" s="29">
        <v>2.3666186612247433</v>
      </c>
      <c r="N10" s="29"/>
      <c r="O10" s="27">
        <f t="shared" si="2"/>
        <v>4292.3856186612247</v>
      </c>
      <c r="P10" s="29">
        <v>6425.6036000000022</v>
      </c>
      <c r="Q10" s="27">
        <f t="shared" si="3"/>
        <v>66.801282585518081</v>
      </c>
    </row>
    <row r="11" spans="1:17" ht="23.1" customHeight="1" x14ac:dyDescent="0.3">
      <c r="A11" s="18" t="s">
        <v>29</v>
      </c>
      <c r="B11" s="19">
        <v>2581</v>
      </c>
      <c r="C11" s="19">
        <v>3483</v>
      </c>
      <c r="D11" s="18">
        <v>949.55700000000002</v>
      </c>
      <c r="E11" s="20">
        <v>115010</v>
      </c>
      <c r="F11" s="19">
        <v>44304.527999999998</v>
      </c>
      <c r="G11" s="19">
        <v>60430.430999999997</v>
      </c>
      <c r="H11" s="21">
        <f t="shared" si="0"/>
        <v>73.31492969163169</v>
      </c>
      <c r="I11" s="22">
        <v>1.1579999999999999</v>
      </c>
      <c r="J11" s="23"/>
      <c r="K11" s="21">
        <f t="shared" si="1"/>
        <v>1.1579999999999999</v>
      </c>
      <c r="L11" s="22">
        <v>4031.7120479999985</v>
      </c>
      <c r="M11" s="23">
        <v>0.70316260636942685</v>
      </c>
      <c r="N11" s="23">
        <v>0</v>
      </c>
      <c r="O11" s="21">
        <f t="shared" si="2"/>
        <v>4032.415210606368</v>
      </c>
      <c r="P11" s="23">
        <v>6219.1836000000003</v>
      </c>
      <c r="Q11" s="21">
        <f t="shared" si="3"/>
        <v>64.838336829392972</v>
      </c>
    </row>
    <row r="12" spans="1:17" ht="23.1" customHeight="1" x14ac:dyDescent="0.3">
      <c r="A12" s="24" t="s">
        <v>30</v>
      </c>
      <c r="B12" s="25">
        <v>2302</v>
      </c>
      <c r="C12" s="25">
        <v>3068</v>
      </c>
      <c r="D12" s="24">
        <v>825.60900000000004</v>
      </c>
      <c r="E12" s="26">
        <v>101886</v>
      </c>
      <c r="F12" s="25">
        <v>38623.908000000003</v>
      </c>
      <c r="G12" s="25">
        <v>52826.796999999999</v>
      </c>
      <c r="H12" s="27">
        <f t="shared" si="0"/>
        <v>73.114234050570971</v>
      </c>
      <c r="I12" s="28">
        <v>1.821</v>
      </c>
      <c r="J12" s="29"/>
      <c r="K12" s="27">
        <f t="shared" si="1"/>
        <v>1.821</v>
      </c>
      <c r="L12" s="28">
        <v>3514.775627999999</v>
      </c>
      <c r="M12" s="29">
        <v>0.93527254865785681</v>
      </c>
      <c r="N12" s="29"/>
      <c r="O12" s="27">
        <f t="shared" si="2"/>
        <v>3515.7109005486568</v>
      </c>
      <c r="P12" s="29">
        <v>5411.5452000000023</v>
      </c>
      <c r="Q12" s="27">
        <f t="shared" si="3"/>
        <v>64.966858274576651</v>
      </c>
    </row>
    <row r="13" spans="1:17" ht="23.1" customHeight="1" x14ac:dyDescent="0.3">
      <c r="A13" s="18" t="s">
        <v>31</v>
      </c>
      <c r="B13" s="19">
        <v>2264</v>
      </c>
      <c r="C13" s="19">
        <v>2989</v>
      </c>
      <c r="D13" s="18">
        <v>819.13400000000001</v>
      </c>
      <c r="E13" s="20">
        <v>98107</v>
      </c>
      <c r="F13" s="19">
        <v>37809.35</v>
      </c>
      <c r="G13" s="19">
        <v>51188.048000000003</v>
      </c>
      <c r="H13" s="21">
        <f t="shared" si="0"/>
        <v>73.863629259705306</v>
      </c>
      <c r="I13" s="22">
        <v>1.274</v>
      </c>
      <c r="J13" s="23"/>
      <c r="K13" s="21">
        <f t="shared" si="1"/>
        <v>1.274</v>
      </c>
      <c r="L13" s="22">
        <v>3440.6509000000001</v>
      </c>
      <c r="M13" s="23">
        <v>0.85751152201257852</v>
      </c>
      <c r="N13" s="23"/>
      <c r="O13" s="21">
        <f t="shared" si="2"/>
        <v>3441.5084115220125</v>
      </c>
      <c r="P13" s="23">
        <v>5239.6472000000012</v>
      </c>
      <c r="Q13" s="21">
        <f t="shared" si="3"/>
        <v>65.682063699288989</v>
      </c>
    </row>
    <row r="14" spans="1:17" ht="23.1" customHeight="1" x14ac:dyDescent="0.3">
      <c r="A14" s="24" t="s">
        <v>32</v>
      </c>
      <c r="B14" s="25">
        <v>2121</v>
      </c>
      <c r="C14" s="25">
        <v>2830</v>
      </c>
      <c r="D14" s="24">
        <v>795.76700000000005</v>
      </c>
      <c r="E14" s="26">
        <v>96860</v>
      </c>
      <c r="F14" s="25">
        <v>38932.533000000003</v>
      </c>
      <c r="G14" s="25">
        <v>52284.783000000003</v>
      </c>
      <c r="H14" s="27">
        <f t="shared" si="0"/>
        <v>74.46245497471034</v>
      </c>
      <c r="I14" s="28">
        <v>0.72499999999999998</v>
      </c>
      <c r="J14" s="29">
        <v>0</v>
      </c>
      <c r="K14" s="27">
        <f t="shared" si="1"/>
        <v>0.72499999999999998</v>
      </c>
      <c r="L14" s="28">
        <v>3542.8604999999998</v>
      </c>
      <c r="M14" s="29">
        <v>6.9999999999999999E-4</v>
      </c>
      <c r="N14" s="29"/>
      <c r="O14" s="27">
        <f t="shared" si="2"/>
        <v>3542.8611999999998</v>
      </c>
      <c r="P14" s="29">
        <v>5023.1746000000003</v>
      </c>
      <c r="Q14" s="27">
        <f t="shared" si="3"/>
        <v>70.530321601801376</v>
      </c>
    </row>
    <row r="15" spans="1:17" ht="23.1" customHeight="1" x14ac:dyDescent="0.3">
      <c r="A15" s="31" t="s">
        <v>33</v>
      </c>
      <c r="B15" s="32">
        <v>2069</v>
      </c>
      <c r="C15" s="32">
        <v>2802</v>
      </c>
      <c r="D15" s="33">
        <v>795.96100000000001</v>
      </c>
      <c r="E15" s="34">
        <v>99952</v>
      </c>
      <c r="F15" s="32">
        <v>40571.822999999997</v>
      </c>
      <c r="G15" s="32">
        <v>52226.36</v>
      </c>
      <c r="H15" s="35">
        <f t="shared" si="0"/>
        <v>77.684569631121136</v>
      </c>
      <c r="I15" s="36">
        <v>0.86199999999999999</v>
      </c>
      <c r="J15" s="37"/>
      <c r="K15" s="35">
        <f t="shared" si="1"/>
        <v>0.86199999999999999</v>
      </c>
      <c r="L15" s="36">
        <v>3692.0358999999999</v>
      </c>
      <c r="M15" s="37">
        <v>8.9999999999999998E-4</v>
      </c>
      <c r="N15" s="37"/>
      <c r="O15" s="35">
        <f t="shared" si="2"/>
        <v>3692.0367999999999</v>
      </c>
      <c r="P15" s="23">
        <v>5003.5020000000004</v>
      </c>
      <c r="Q15" s="21">
        <f t="shared" si="3"/>
        <v>73.789054146475792</v>
      </c>
    </row>
    <row r="16" spans="1:17" ht="23.1" customHeight="1" x14ac:dyDescent="0.3">
      <c r="A16" s="38" t="s">
        <v>34</v>
      </c>
      <c r="B16" s="39">
        <f t="shared" ref="B16:G16" si="4">SUM(B4:B15)</f>
        <v>30735</v>
      </c>
      <c r="C16" s="39">
        <f t="shared" si="4"/>
        <v>41420</v>
      </c>
      <c r="D16" s="39">
        <f t="shared" si="4"/>
        <v>11397.752999999999</v>
      </c>
      <c r="E16" s="39">
        <f t="shared" si="4"/>
        <v>1431638</v>
      </c>
      <c r="F16" s="39">
        <f t="shared" si="4"/>
        <v>563914.77099999995</v>
      </c>
      <c r="G16" s="39">
        <f t="shared" si="4"/>
        <v>731742.45000000007</v>
      </c>
      <c r="H16" s="40">
        <f t="shared" si="0"/>
        <v>77.064651777411569</v>
      </c>
      <c r="I16" s="40">
        <f>SUM(I4:I15)</f>
        <v>62.805000000000007</v>
      </c>
      <c r="J16" s="40">
        <f>SUM(J4:J15)</f>
        <v>3.3519999999999999</v>
      </c>
      <c r="K16" s="40">
        <f t="shared" si="1"/>
        <v>66.157000000000011</v>
      </c>
      <c r="L16" s="40">
        <f>SUM(L4:L15)</f>
        <v>51319.49625300656</v>
      </c>
      <c r="M16" s="40">
        <f>SUM(M4:M15)</f>
        <v>30.144454877706259</v>
      </c>
      <c r="N16" s="40">
        <f>SUM(N4:N15)</f>
        <v>1.4269330000000002</v>
      </c>
      <c r="O16" s="40">
        <f t="shared" si="2"/>
        <v>51351.06764088427</v>
      </c>
      <c r="P16" s="41">
        <f>SUM(P4:P15)</f>
        <v>74224.212599999999</v>
      </c>
      <c r="Q16" s="41">
        <f t="shared" si="3"/>
        <v>69.183714912031647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62</v>
      </c>
      <c r="C23" s="58">
        <v>76</v>
      </c>
      <c r="D23" s="59">
        <v>21.948</v>
      </c>
      <c r="E23" s="57">
        <v>3380</v>
      </c>
      <c r="F23" s="58">
        <v>1196.52</v>
      </c>
      <c r="G23" s="58">
        <v>1382.7239999999999</v>
      </c>
      <c r="H23" s="60">
        <f t="shared" ref="H23:H35" si="5">IFERROR(F23/G23*100," ")</f>
        <v>86.533538146441373</v>
      </c>
      <c r="I23" s="61">
        <v>0</v>
      </c>
      <c r="J23" s="61"/>
      <c r="K23" s="61">
        <f>IF(AND(ISBLANK(I23),ISBLANK(J23))=TRUE,"",I23+J23)</f>
        <v>0</v>
      </c>
      <c r="L23" s="62">
        <v>114.86592</v>
      </c>
      <c r="M23" s="61">
        <v>0</v>
      </c>
      <c r="N23" s="61">
        <v>0</v>
      </c>
      <c r="O23" s="63">
        <f>IF(AND(ISBLANK(L23),ISBLANK(M23),ISBLANK(N23))=TRUE,"",L23+M23+N23)</f>
        <v>114.86592</v>
      </c>
      <c r="P23" s="62">
        <v>149.24639999999999</v>
      </c>
      <c r="Q23" s="63">
        <f>IFERROR(O23/P23*100," ")</f>
        <v>76.963946869070213</v>
      </c>
    </row>
    <row r="24" spans="1:17" ht="23.1" customHeight="1" x14ac:dyDescent="0.3">
      <c r="A24" s="64" t="s">
        <v>23</v>
      </c>
      <c r="B24" s="65">
        <v>58</v>
      </c>
      <c r="C24" s="64">
        <v>72</v>
      </c>
      <c r="D24" s="66">
        <v>20.532</v>
      </c>
      <c r="E24" s="65">
        <v>2879</v>
      </c>
      <c r="F24" s="64">
        <v>1019.1660000000001</v>
      </c>
      <c r="G24" s="64">
        <v>1293.5160000000001</v>
      </c>
      <c r="H24" s="67">
        <f t="shared" si="5"/>
        <v>78.790366721401199</v>
      </c>
      <c r="I24" s="68">
        <v>0</v>
      </c>
      <c r="J24" s="68"/>
      <c r="K24" s="68">
        <f t="shared" ref="K24:K35" si="6">IF(AND(ISBLANK(I24),ISBLANK(J24))=TRUE,"",I24+J24)</f>
        <v>0</v>
      </c>
      <c r="L24" s="69">
        <v>97.8399</v>
      </c>
      <c r="M24" s="68">
        <v>0</v>
      </c>
      <c r="N24" s="68">
        <v>0</v>
      </c>
      <c r="O24" s="67">
        <f t="shared" ref="O24:O35" si="7">IF(AND(ISBLANK(L24),ISBLANK(M24),ISBLANK(N24))=TRUE,"",L24+M24+N24)</f>
        <v>97.8399</v>
      </c>
      <c r="P24" s="69">
        <v>139.61760000000001</v>
      </c>
      <c r="Q24" s="67">
        <f t="shared" ref="Q24:Q35" si="8">IFERROR(O24/P24*100," ")</f>
        <v>70.077053322790249</v>
      </c>
    </row>
    <row r="25" spans="1:17" ht="23.1" customHeight="1" x14ac:dyDescent="0.3">
      <c r="A25" s="56" t="s">
        <v>24</v>
      </c>
      <c r="B25" s="70">
        <v>62</v>
      </c>
      <c r="C25" s="56">
        <v>79</v>
      </c>
      <c r="D25" s="71">
        <v>21.948</v>
      </c>
      <c r="E25" s="70">
        <v>3331</v>
      </c>
      <c r="F25" s="56">
        <v>1179.174</v>
      </c>
      <c r="G25" s="56">
        <v>1360.7760000000001</v>
      </c>
      <c r="H25" s="60">
        <f t="shared" si="5"/>
        <v>86.654526534859514</v>
      </c>
      <c r="I25" s="72">
        <v>0</v>
      </c>
      <c r="J25" s="72"/>
      <c r="K25" s="72">
        <f t="shared" si="6"/>
        <v>0</v>
      </c>
      <c r="L25" s="73">
        <v>113.2007</v>
      </c>
      <c r="M25" s="72">
        <v>0</v>
      </c>
      <c r="N25" s="72">
        <v>0</v>
      </c>
      <c r="O25" s="60">
        <f t="shared" si="7"/>
        <v>113.2007</v>
      </c>
      <c r="P25" s="73">
        <v>149.24639999999999</v>
      </c>
      <c r="Q25" s="60">
        <f t="shared" si="8"/>
        <v>75.848194663321863</v>
      </c>
    </row>
    <row r="26" spans="1:17" ht="23.1" customHeight="1" x14ac:dyDescent="0.3">
      <c r="A26" s="64" t="s">
        <v>25</v>
      </c>
      <c r="B26" s="65">
        <v>60</v>
      </c>
      <c r="C26" s="64">
        <v>76</v>
      </c>
      <c r="D26" s="66">
        <v>21.24</v>
      </c>
      <c r="E26" s="65">
        <v>3144</v>
      </c>
      <c r="F26" s="64">
        <v>1112.9760000000001</v>
      </c>
      <c r="G26" s="64">
        <v>1338.12</v>
      </c>
      <c r="H26" s="67">
        <f t="shared" si="5"/>
        <v>83.174603174603192</v>
      </c>
      <c r="I26" s="68">
        <v>0</v>
      </c>
      <c r="J26" s="68">
        <v>0</v>
      </c>
      <c r="K26" s="68">
        <f t="shared" si="6"/>
        <v>0</v>
      </c>
      <c r="L26" s="69">
        <v>106.84569999999999</v>
      </c>
      <c r="M26" s="68">
        <v>0</v>
      </c>
      <c r="N26" s="68">
        <v>0</v>
      </c>
      <c r="O26" s="67">
        <f t="shared" si="7"/>
        <v>106.84569999999999</v>
      </c>
      <c r="P26" s="69">
        <v>144.43199999999999</v>
      </c>
      <c r="Q26" s="67">
        <f t="shared" si="8"/>
        <v>73.976473357704663</v>
      </c>
    </row>
    <row r="27" spans="1:17" s="30" customFormat="1" ht="30" customHeight="1" x14ac:dyDescent="0.25">
      <c r="A27" s="56" t="s">
        <v>26</v>
      </c>
      <c r="B27" s="70">
        <v>62</v>
      </c>
      <c r="C27" s="56">
        <v>75</v>
      </c>
      <c r="D27" s="71">
        <v>21.948</v>
      </c>
      <c r="E27" s="70">
        <v>2941</v>
      </c>
      <c r="F27" s="56">
        <v>1041.114</v>
      </c>
      <c r="G27" s="56">
        <v>1382.7239999999999</v>
      </c>
      <c r="H27" s="60">
        <f t="shared" si="5"/>
        <v>75.294418842805939</v>
      </c>
      <c r="I27" s="72">
        <v>0</v>
      </c>
      <c r="J27" s="72">
        <v>0</v>
      </c>
      <c r="K27" s="72">
        <f t="shared" si="6"/>
        <v>0</v>
      </c>
      <c r="L27" s="73">
        <v>99.946943999999988</v>
      </c>
      <c r="M27" s="72">
        <v>0</v>
      </c>
      <c r="N27" s="72">
        <v>0</v>
      </c>
      <c r="O27" s="60">
        <f t="shared" si="7"/>
        <v>99.946943999999988</v>
      </c>
      <c r="P27" s="73">
        <v>149.24639999999999</v>
      </c>
      <c r="Q27" s="60">
        <f t="shared" si="8"/>
        <v>66.967741935483858</v>
      </c>
    </row>
    <row r="28" spans="1:17" ht="23.1" customHeight="1" x14ac:dyDescent="0.3">
      <c r="A28" s="64" t="s">
        <v>27</v>
      </c>
      <c r="B28" s="65">
        <v>60</v>
      </c>
      <c r="C28" s="64">
        <v>73</v>
      </c>
      <c r="D28" s="66">
        <v>21.24</v>
      </c>
      <c r="E28" s="65">
        <v>3147</v>
      </c>
      <c r="F28" s="64">
        <v>1114.038</v>
      </c>
      <c r="G28" s="64">
        <v>1338.12</v>
      </c>
      <c r="H28" s="67">
        <f t="shared" si="5"/>
        <v>83.253968253968253</v>
      </c>
      <c r="I28" s="68">
        <v>0</v>
      </c>
      <c r="J28" s="68">
        <v>0</v>
      </c>
      <c r="K28" s="68">
        <f t="shared" si="6"/>
        <v>0</v>
      </c>
      <c r="L28" s="69">
        <v>106.94759999999999</v>
      </c>
      <c r="M28" s="68">
        <v>0</v>
      </c>
      <c r="N28" s="68">
        <v>0</v>
      </c>
      <c r="O28" s="67">
        <f t="shared" si="7"/>
        <v>106.94759999999999</v>
      </c>
      <c r="P28" s="69">
        <v>144.43199999999999</v>
      </c>
      <c r="Q28" s="67">
        <f t="shared" si="8"/>
        <v>74.047025589896975</v>
      </c>
    </row>
    <row r="29" spans="1:17" ht="23.1" customHeight="1" x14ac:dyDescent="0.3">
      <c r="A29" s="56" t="s">
        <v>28</v>
      </c>
      <c r="B29" s="70">
        <v>60</v>
      </c>
      <c r="C29" s="56">
        <v>75</v>
      </c>
      <c r="D29" s="71">
        <v>21.24</v>
      </c>
      <c r="E29" s="70">
        <v>3432</v>
      </c>
      <c r="F29" s="56">
        <v>1214.9280000000001</v>
      </c>
      <c r="G29" s="56">
        <v>1338.12</v>
      </c>
      <c r="H29" s="60">
        <f t="shared" si="5"/>
        <v>90.793650793650798</v>
      </c>
      <c r="I29" s="72">
        <v>0</v>
      </c>
      <c r="J29" s="72"/>
      <c r="K29" s="72">
        <f t="shared" si="6"/>
        <v>0</v>
      </c>
      <c r="L29" s="73">
        <v>116.6331</v>
      </c>
      <c r="M29" s="72">
        <v>0</v>
      </c>
      <c r="N29" s="72"/>
      <c r="O29" s="60">
        <f t="shared" si="7"/>
        <v>116.6331</v>
      </c>
      <c r="P29" s="73">
        <v>144.43199999999999</v>
      </c>
      <c r="Q29" s="60">
        <f t="shared" si="8"/>
        <v>80.752949484878698</v>
      </c>
    </row>
    <row r="30" spans="1:17" ht="23.1" customHeight="1" x14ac:dyDescent="0.3">
      <c r="A30" s="64" t="s">
        <v>29</v>
      </c>
      <c r="B30" s="65">
        <v>60</v>
      </c>
      <c r="C30" s="64">
        <v>74</v>
      </c>
      <c r="D30" s="66">
        <v>21.24</v>
      </c>
      <c r="E30" s="65">
        <v>3178</v>
      </c>
      <c r="F30" s="64">
        <v>1125.0119999999999</v>
      </c>
      <c r="G30" s="64">
        <v>1339.182</v>
      </c>
      <c r="H30" s="67">
        <f t="shared" si="5"/>
        <v>84.007401533174715</v>
      </c>
      <c r="I30" s="68"/>
      <c r="J30" s="68"/>
      <c r="K30" s="68" t="str">
        <f t="shared" si="6"/>
        <v/>
      </c>
      <c r="L30" s="69">
        <v>108.001152</v>
      </c>
      <c r="M30" s="68"/>
      <c r="N30" s="68"/>
      <c r="O30" s="67">
        <f t="shared" si="7"/>
        <v>108.001152</v>
      </c>
      <c r="P30" s="69">
        <v>144.43199999999999</v>
      </c>
      <c r="Q30" s="67">
        <f t="shared" si="8"/>
        <v>74.776470588235298</v>
      </c>
    </row>
    <row r="31" spans="1:17" ht="23.1" customHeight="1" x14ac:dyDescent="0.3">
      <c r="A31" s="56" t="s">
        <v>30</v>
      </c>
      <c r="B31" s="70">
        <v>42</v>
      </c>
      <c r="C31" s="56">
        <v>52</v>
      </c>
      <c r="D31" s="71">
        <v>14.868</v>
      </c>
      <c r="E31" s="70">
        <v>1102</v>
      </c>
      <c r="F31" s="56">
        <v>390.108</v>
      </c>
      <c r="G31" s="56">
        <v>1003.59</v>
      </c>
      <c r="H31" s="60">
        <f t="shared" si="5"/>
        <v>38.871252204585538</v>
      </c>
      <c r="I31" s="72">
        <v>0</v>
      </c>
      <c r="J31" s="72"/>
      <c r="K31" s="72">
        <f t="shared" si="6"/>
        <v>0</v>
      </c>
      <c r="L31" s="73">
        <v>37.450368000000005</v>
      </c>
      <c r="M31" s="72"/>
      <c r="N31" s="72">
        <v>0</v>
      </c>
      <c r="O31" s="60">
        <f t="shared" si="7"/>
        <v>37.450368000000005</v>
      </c>
      <c r="P31" s="73">
        <v>101.10239999999999</v>
      </c>
      <c r="Q31" s="60">
        <f t="shared" si="8"/>
        <v>37.0420168067227</v>
      </c>
    </row>
    <row r="32" spans="1:17" ht="23.1" customHeight="1" x14ac:dyDescent="0.3">
      <c r="A32" s="64" t="s">
        <v>31</v>
      </c>
      <c r="B32" s="65">
        <v>16</v>
      </c>
      <c r="C32" s="64">
        <v>20</v>
      </c>
      <c r="D32" s="66">
        <v>5.6639999999999997</v>
      </c>
      <c r="E32" s="65">
        <v>299</v>
      </c>
      <c r="F32" s="64">
        <v>105.846</v>
      </c>
      <c r="G32" s="64">
        <v>385.86</v>
      </c>
      <c r="H32" s="67">
        <f t="shared" si="5"/>
        <v>27.431192660550458</v>
      </c>
      <c r="I32" s="68">
        <v>0</v>
      </c>
      <c r="J32" s="68"/>
      <c r="K32" s="68">
        <f t="shared" si="6"/>
        <v>0</v>
      </c>
      <c r="L32" s="69">
        <v>10.161216</v>
      </c>
      <c r="M32" s="68">
        <v>0</v>
      </c>
      <c r="N32" s="68"/>
      <c r="O32" s="67">
        <f t="shared" si="7"/>
        <v>10.161216</v>
      </c>
      <c r="P32" s="69">
        <v>38.5152</v>
      </c>
      <c r="Q32" s="67">
        <f t="shared" si="8"/>
        <v>26.382352941176467</v>
      </c>
    </row>
    <row r="33" spans="1:17" ht="23.1" customHeight="1" x14ac:dyDescent="0.3">
      <c r="A33" s="56" t="s">
        <v>32</v>
      </c>
      <c r="B33" s="70">
        <v>6</v>
      </c>
      <c r="C33" s="56">
        <v>7</v>
      </c>
      <c r="D33" s="71">
        <v>2.1240000000000001</v>
      </c>
      <c r="E33" s="70">
        <v>105</v>
      </c>
      <c r="F33" s="56">
        <v>37.17</v>
      </c>
      <c r="G33" s="56">
        <v>148.68</v>
      </c>
      <c r="H33" s="60">
        <f t="shared" si="5"/>
        <v>25</v>
      </c>
      <c r="I33" s="72">
        <v>0</v>
      </c>
      <c r="J33" s="72">
        <v>0</v>
      </c>
      <c r="K33" s="72">
        <f t="shared" si="6"/>
        <v>0</v>
      </c>
      <c r="L33" s="73">
        <v>3.5682999999999998</v>
      </c>
      <c r="M33" s="72"/>
      <c r="N33" s="72"/>
      <c r="O33" s="60">
        <f t="shared" si="7"/>
        <v>3.5682999999999998</v>
      </c>
      <c r="P33" s="73">
        <v>14.124599999999999</v>
      </c>
      <c r="Q33" s="60">
        <f t="shared" si="8"/>
        <v>25.263016297806661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548</v>
      </c>
      <c r="C35" s="81">
        <f t="shared" si="9"/>
        <v>679</v>
      </c>
      <c r="D35" s="81">
        <f t="shared" si="9"/>
        <v>193.99199999999999</v>
      </c>
      <c r="E35" s="81">
        <f t="shared" si="9"/>
        <v>26938</v>
      </c>
      <c r="F35" s="81">
        <f t="shared" si="9"/>
        <v>9536.0520000000015</v>
      </c>
      <c r="G35" s="81">
        <f t="shared" si="9"/>
        <v>12311.412</v>
      </c>
      <c r="H35" s="82">
        <f t="shared" si="5"/>
        <v>77.457013054229691</v>
      </c>
      <c r="I35" s="83">
        <f>SUM(I23:I34)</f>
        <v>0</v>
      </c>
      <c r="J35" s="83">
        <f>SUM(J23:J34)</f>
        <v>0</v>
      </c>
      <c r="K35" s="83">
        <f t="shared" si="6"/>
        <v>0</v>
      </c>
      <c r="L35" s="83">
        <f>SUM(L23:L34)</f>
        <v>915.46090000000004</v>
      </c>
      <c r="M35" s="83">
        <f>SUM(M23:M34)</f>
        <v>0</v>
      </c>
      <c r="N35" s="83">
        <f>SUM(N23:N34)</f>
        <v>0</v>
      </c>
      <c r="O35" s="83">
        <f t="shared" si="7"/>
        <v>915.46090000000004</v>
      </c>
      <c r="P35" s="83">
        <f>SUM(P23:P34)</f>
        <v>1318.8270000000002</v>
      </c>
      <c r="Q35" s="83">
        <f t="shared" si="8"/>
        <v>69.414782985183038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12</v>
      </c>
      <c r="C42" s="94">
        <v>10</v>
      </c>
      <c r="D42" s="95">
        <v>4.6539999999999999</v>
      </c>
      <c r="E42" s="93">
        <v>88</v>
      </c>
      <c r="F42" s="94">
        <v>48.334000000000003</v>
      </c>
      <c r="G42" s="94">
        <v>191.48599999999999</v>
      </c>
      <c r="H42" s="96">
        <f t="shared" ref="H42:H54" si="10">IFERROR(F42/G42*100," ")</f>
        <v>25.241532018006541</v>
      </c>
      <c r="I42" s="97">
        <v>0</v>
      </c>
      <c r="J42" s="98"/>
      <c r="K42" s="96">
        <f>IF(AND(ISBLANK(I42),ISBLANK(J42))=TRUE,"",I42+J42)</f>
        <v>0</v>
      </c>
      <c r="L42" s="97">
        <v>4.3983999999999996</v>
      </c>
      <c r="M42" s="98">
        <v>0</v>
      </c>
      <c r="N42" s="98">
        <v>0</v>
      </c>
      <c r="O42" s="96">
        <f>IF(AND(ISBLANK(L42),ISBLANK(M42),ISBLANK(N42))=TRUE,"",L42+M42+N42)</f>
        <v>4.3983999999999996</v>
      </c>
      <c r="P42" s="97">
        <v>24.7624</v>
      </c>
      <c r="Q42" s="96">
        <f>IFERROR(O42/P42*100," ")</f>
        <v>17.76241398248958</v>
      </c>
    </row>
    <row r="43" spans="1:17" ht="25.5" customHeight="1" x14ac:dyDescent="0.3">
      <c r="A43" s="99" t="s">
        <v>23</v>
      </c>
      <c r="B43" s="100">
        <v>11</v>
      </c>
      <c r="C43" s="101">
        <v>12</v>
      </c>
      <c r="D43" s="102">
        <v>4.9240000000000004</v>
      </c>
      <c r="E43" s="100">
        <v>126</v>
      </c>
      <c r="F43" s="101">
        <v>68.212999999999994</v>
      </c>
      <c r="G43" s="101">
        <v>259.65100000000001</v>
      </c>
      <c r="H43" s="103">
        <f t="shared" si="10"/>
        <v>26.271033040504367</v>
      </c>
      <c r="I43" s="104">
        <v>0</v>
      </c>
      <c r="J43" s="105"/>
      <c r="K43" s="103">
        <f t="shared" ref="K43:K54" si="11">IF(AND(ISBLANK(I43),ISBLANK(J43))=TRUE,"",I43+J43)</f>
        <v>0</v>
      </c>
      <c r="L43" s="104">
        <v>6.2073999999999998</v>
      </c>
      <c r="M43" s="105">
        <v>0</v>
      </c>
      <c r="N43" s="105">
        <v>0</v>
      </c>
      <c r="O43" s="103">
        <f t="shared" ref="O43:O54" si="12">IF(AND(ISBLANK(L43),ISBLANK(M43),ISBLANK(N43))=TRUE,"",L43+M43+N43)</f>
        <v>6.2073999999999998</v>
      </c>
      <c r="P43" s="104">
        <v>28.902999999999999</v>
      </c>
      <c r="Q43" s="103">
        <f t="shared" ref="Q43:Q54" si="13">IFERROR(O43/P43*100," ")</f>
        <v>21.476663322146493</v>
      </c>
    </row>
    <row r="44" spans="1:17" ht="25.5" customHeight="1" x14ac:dyDescent="0.3">
      <c r="A44" s="92" t="s">
        <v>24</v>
      </c>
      <c r="B44" s="106">
        <v>13</v>
      </c>
      <c r="C44" s="107">
        <v>17</v>
      </c>
      <c r="D44" s="108">
        <v>7.3929999999999998</v>
      </c>
      <c r="E44" s="106">
        <v>494</v>
      </c>
      <c r="F44" s="107">
        <v>270.73899999999998</v>
      </c>
      <c r="G44" s="107">
        <v>421.32600000000002</v>
      </c>
      <c r="H44" s="109">
        <f t="shared" si="10"/>
        <v>64.258792478983011</v>
      </c>
      <c r="I44" s="110">
        <v>0</v>
      </c>
      <c r="J44" s="111"/>
      <c r="K44" s="109">
        <f t="shared" si="11"/>
        <v>0</v>
      </c>
      <c r="L44" s="110">
        <v>24.6372</v>
      </c>
      <c r="M44" s="111">
        <v>0</v>
      </c>
      <c r="N44" s="111">
        <v>0</v>
      </c>
      <c r="O44" s="109">
        <f t="shared" si="12"/>
        <v>24.6372</v>
      </c>
      <c r="P44" s="110">
        <v>49.163499999999999</v>
      </c>
      <c r="Q44" s="109">
        <f t="shared" si="13"/>
        <v>50.112786925259591</v>
      </c>
    </row>
    <row r="45" spans="1:17" ht="25.5" customHeight="1" x14ac:dyDescent="0.3">
      <c r="A45" s="99" t="s">
        <v>25</v>
      </c>
      <c r="B45" s="100">
        <v>8</v>
      </c>
      <c r="C45" s="112">
        <v>9</v>
      </c>
      <c r="D45" s="102">
        <v>3.6549999999999998</v>
      </c>
      <c r="E45" s="100">
        <v>0</v>
      </c>
      <c r="F45" s="101">
        <v>0</v>
      </c>
      <c r="G45" s="101">
        <v>189.398</v>
      </c>
      <c r="H45" s="103">
        <f t="shared" si="10"/>
        <v>0</v>
      </c>
      <c r="I45" s="104">
        <v>0</v>
      </c>
      <c r="J45" s="105">
        <v>0</v>
      </c>
      <c r="K45" s="103">
        <f t="shared" si="11"/>
        <v>0</v>
      </c>
      <c r="L45" s="104">
        <v>0</v>
      </c>
      <c r="M45" s="105">
        <v>0</v>
      </c>
      <c r="N45" s="105">
        <v>0</v>
      </c>
      <c r="O45" s="103">
        <f t="shared" si="12"/>
        <v>0</v>
      </c>
      <c r="P45" s="104">
        <v>23.923100000000002</v>
      </c>
      <c r="Q45" s="103">
        <f t="shared" si="13"/>
        <v>0</v>
      </c>
    </row>
    <row r="46" spans="1:17" ht="25.5" customHeight="1" x14ac:dyDescent="0.3">
      <c r="A46" s="92" t="s">
        <v>26</v>
      </c>
      <c r="B46" s="106">
        <v>23</v>
      </c>
      <c r="C46" s="113">
        <v>16</v>
      </c>
      <c r="D46" s="108">
        <v>7.31</v>
      </c>
      <c r="E46" s="106">
        <v>41</v>
      </c>
      <c r="F46" s="107">
        <v>19.431000000000001</v>
      </c>
      <c r="G46" s="107">
        <v>289.26</v>
      </c>
      <c r="H46" s="109">
        <f t="shared" si="10"/>
        <v>6.7174859987554463</v>
      </c>
      <c r="I46" s="110">
        <v>0</v>
      </c>
      <c r="J46" s="111">
        <v>0</v>
      </c>
      <c r="K46" s="109">
        <f t="shared" si="11"/>
        <v>0</v>
      </c>
      <c r="L46" s="110">
        <v>1.768</v>
      </c>
      <c r="M46" s="111">
        <v>0</v>
      </c>
      <c r="N46" s="111">
        <v>0</v>
      </c>
      <c r="O46" s="109">
        <f t="shared" si="12"/>
        <v>1.768</v>
      </c>
      <c r="P46" s="110">
        <v>36.109000000000002</v>
      </c>
      <c r="Q46" s="109">
        <f t="shared" si="13"/>
        <v>4.8962862444265971</v>
      </c>
    </row>
    <row r="47" spans="1:17" ht="25.5" customHeight="1" x14ac:dyDescent="0.3">
      <c r="A47" s="99" t="s">
        <v>27</v>
      </c>
      <c r="B47" s="114">
        <v>3</v>
      </c>
      <c r="C47" s="115">
        <v>5</v>
      </c>
      <c r="D47" s="102">
        <v>2.5369999999999999</v>
      </c>
      <c r="E47" s="114">
        <v>55</v>
      </c>
      <c r="F47" s="115">
        <v>68.144999999999996</v>
      </c>
      <c r="G47" s="115">
        <v>124.313</v>
      </c>
      <c r="H47" s="103">
        <f t="shared" si="10"/>
        <v>54.817275747508297</v>
      </c>
      <c r="I47" s="116">
        <v>0</v>
      </c>
      <c r="J47" s="117">
        <v>0</v>
      </c>
      <c r="K47" s="103">
        <f t="shared" si="11"/>
        <v>0</v>
      </c>
      <c r="L47" s="116">
        <v>6.2012</v>
      </c>
      <c r="M47" s="117">
        <v>0</v>
      </c>
      <c r="N47" s="117">
        <v>0</v>
      </c>
      <c r="O47" s="103">
        <f t="shared" si="12"/>
        <v>6.2012</v>
      </c>
      <c r="P47" s="116">
        <v>16.871099999999998</v>
      </c>
      <c r="Q47" s="103">
        <f t="shared" si="13"/>
        <v>36.756346651966979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0"/>
        <v xml:space="preserve"> </v>
      </c>
      <c r="I48" s="123"/>
      <c r="J48" s="124"/>
      <c r="K48" s="122" t="str">
        <f t="shared" si="11"/>
        <v/>
      </c>
      <c r="L48" s="123"/>
      <c r="M48" s="124"/>
      <c r="N48" s="124"/>
      <c r="O48" s="122" t="str">
        <f t="shared" si="12"/>
        <v/>
      </c>
      <c r="P48" s="123"/>
      <c r="Q48" s="122" t="str">
        <f t="shared" si="13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>
        <v>2</v>
      </c>
      <c r="C50" s="128">
        <v>2</v>
      </c>
      <c r="D50" s="129">
        <v>1.0840000000000001</v>
      </c>
      <c r="E50" s="127">
        <v>0</v>
      </c>
      <c r="F50" s="128">
        <v>0</v>
      </c>
      <c r="G50" s="128">
        <v>73.17</v>
      </c>
      <c r="H50" s="109">
        <f t="shared" si="10"/>
        <v>0</v>
      </c>
      <c r="I50" s="130">
        <v>0</v>
      </c>
      <c r="J50" s="131"/>
      <c r="K50" s="109">
        <f t="shared" si="11"/>
        <v>0</v>
      </c>
      <c r="L50" s="130">
        <v>0</v>
      </c>
      <c r="M50" s="131">
        <v>0</v>
      </c>
      <c r="N50" s="131">
        <v>0</v>
      </c>
      <c r="O50" s="109">
        <f t="shared" si="12"/>
        <v>0</v>
      </c>
      <c r="P50" s="130">
        <v>7.2085999999999997</v>
      </c>
      <c r="Q50" s="109">
        <f t="shared" si="13"/>
        <v>0</v>
      </c>
    </row>
    <row r="51" spans="1:17" ht="25.5" customHeight="1" x14ac:dyDescent="0.3">
      <c r="A51" s="99" t="s">
        <v>31</v>
      </c>
      <c r="B51" s="114">
        <v>4</v>
      </c>
      <c r="C51" s="115">
        <v>4</v>
      </c>
      <c r="D51" s="126">
        <v>1.833</v>
      </c>
      <c r="E51" s="114">
        <v>24</v>
      </c>
      <c r="F51" s="115">
        <v>13.007999999999999</v>
      </c>
      <c r="G51" s="115">
        <v>124.038</v>
      </c>
      <c r="H51" s="103">
        <f t="shared" si="10"/>
        <v>10.487108789242006</v>
      </c>
      <c r="I51" s="116">
        <v>0</v>
      </c>
      <c r="J51" s="117"/>
      <c r="K51" s="103">
        <f t="shared" si="11"/>
        <v>0</v>
      </c>
      <c r="L51" s="116">
        <v>1.1837</v>
      </c>
      <c r="M51" s="117">
        <v>0</v>
      </c>
      <c r="N51" s="117"/>
      <c r="O51" s="103">
        <f t="shared" si="12"/>
        <v>1.1837</v>
      </c>
      <c r="P51" s="116">
        <v>11.806800000000001</v>
      </c>
      <c r="Q51" s="103">
        <f t="shared" si="13"/>
        <v>10.025578480197851</v>
      </c>
    </row>
    <row r="52" spans="1:17" ht="25.5" customHeight="1" x14ac:dyDescent="0.3">
      <c r="A52" s="92" t="s">
        <v>32</v>
      </c>
      <c r="B52" s="127">
        <v>4</v>
      </c>
      <c r="C52" s="128">
        <v>5</v>
      </c>
      <c r="D52" s="129">
        <v>2.5960000000000001</v>
      </c>
      <c r="E52" s="127">
        <v>0</v>
      </c>
      <c r="F52" s="128">
        <v>0</v>
      </c>
      <c r="G52" s="128">
        <v>150.56800000000001</v>
      </c>
      <c r="H52" s="109">
        <f t="shared" si="10"/>
        <v>0</v>
      </c>
      <c r="I52" s="130">
        <v>0</v>
      </c>
      <c r="J52" s="131">
        <v>0</v>
      </c>
      <c r="K52" s="109">
        <f t="shared" si="11"/>
        <v>0</v>
      </c>
      <c r="L52" s="130"/>
      <c r="M52" s="131"/>
      <c r="N52" s="131"/>
      <c r="O52" s="109" t="str">
        <f t="shared" si="12"/>
        <v/>
      </c>
      <c r="P52" s="130">
        <v>14.4727</v>
      </c>
      <c r="Q52" s="109">
        <f t="shared" si="13"/>
        <v>0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80</v>
      </c>
      <c r="C54" s="139">
        <f t="shared" si="14"/>
        <v>80</v>
      </c>
      <c r="D54" s="139">
        <f t="shared" si="14"/>
        <v>35.986000000000004</v>
      </c>
      <c r="E54" s="139">
        <f t="shared" si="14"/>
        <v>828</v>
      </c>
      <c r="F54" s="139">
        <f t="shared" si="14"/>
        <v>487.86999999999989</v>
      </c>
      <c r="G54" s="139">
        <f t="shared" si="14"/>
        <v>1823.21</v>
      </c>
      <c r="H54" s="140">
        <f t="shared" si="10"/>
        <v>26.758848404736696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44.395899999999997</v>
      </c>
      <c r="M54" s="140">
        <f>SUM(M42:M53)</f>
        <v>0</v>
      </c>
      <c r="N54" s="140">
        <f>SUM(N42:N53)</f>
        <v>0</v>
      </c>
      <c r="O54" s="140">
        <f t="shared" si="12"/>
        <v>44.395899999999997</v>
      </c>
      <c r="P54" s="141">
        <f>SUM(P42:P53)</f>
        <v>213.22020000000001</v>
      </c>
      <c r="Q54" s="140">
        <f t="shared" si="13"/>
        <v>20.821620090404192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/>
      <c r="N64" s="117"/>
      <c r="O64" s="103" t="str">
        <f t="shared" si="17"/>
        <v/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15"/>
        <v xml:space="preserve"> </v>
      </c>
      <c r="I67" s="163"/>
      <c r="J67" s="164"/>
      <c r="K67" s="164" t="str">
        <f t="shared" si="16"/>
        <v/>
      </c>
      <c r="L67" s="163"/>
      <c r="M67" s="164"/>
      <c r="N67" s="164"/>
      <c r="O67" s="165" t="str">
        <f t="shared" si="17"/>
        <v/>
      </c>
      <c r="P67" s="164"/>
      <c r="Q67" s="162" t="str">
        <f t="shared" si="18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0</v>
      </c>
      <c r="C73" s="167">
        <f t="shared" si="19"/>
        <v>0</v>
      </c>
      <c r="D73" s="167">
        <f t="shared" si="19"/>
        <v>0</v>
      </c>
      <c r="E73" s="167">
        <f t="shared" si="19"/>
        <v>0</v>
      </c>
      <c r="F73" s="167">
        <f t="shared" si="19"/>
        <v>0</v>
      </c>
      <c r="G73" s="167">
        <f t="shared" si="19"/>
        <v>0</v>
      </c>
      <c r="H73" s="168" t="str">
        <f t="shared" si="15"/>
        <v xml:space="preserve"> 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0</v>
      </c>
      <c r="M73" s="169">
        <f>SUM(M61:M72)</f>
        <v>0</v>
      </c>
      <c r="N73" s="169">
        <f>SUM(N61:N72)</f>
        <v>0</v>
      </c>
      <c r="O73" s="169">
        <f t="shared" si="17"/>
        <v>0</v>
      </c>
      <c r="P73" s="169">
        <f>SUM(P61:P72)</f>
        <v>0</v>
      </c>
      <c r="Q73" s="168" t="str">
        <f t="shared" si="18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2025-01-16T09:00:04Z</dcterms:created>
  <dcterms:modified xsi:type="dcterms:W3CDTF">2025-01-16T09:00:27Z</dcterms:modified>
</cp:coreProperties>
</file>