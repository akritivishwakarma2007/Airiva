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H35" i="2"/>
  <c r="G35" i="2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  <c r="K54" i="2" l="1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<sst xmlns="http://schemas.openxmlformats.org/spreadsheetml/2006/main" count="153" uniqueCount="42">
  <si>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</si>
  <si>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</si>
  <si>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</si>
  <si>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</si>
  <si>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</si>
  <si>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</si>
  <si>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</si>
  <si>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</si>
  <si>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</si>
  <si>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</si>
  <si>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</si>
  <si>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</si>
  <si>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</si>
  <si>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</si>
  <si>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</si>
  <si>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</si>
  <si>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</si>
  <si>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</si>
  <si>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</si>
  <si>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</si>
  <si>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</si>
  <si>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</si>
  <si>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</si>
  <si>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</si>
  <si>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</si>
  <si>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</si>
  <si>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</si>
  <si>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</si>
  <si>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</si>
  <si>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</si>
  <si>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</si>
  <si>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</si>
  <si>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</si>
  <si>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</si>
  <si>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</si>
  <si>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</si>
  <si>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</si>
  <si>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</si>
  <si>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</si>
  <si>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</si>
  <si>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>AIX CONNECT</t>
  </si>
  <si>
    <t>SOURCE:-ICAO ATR FORM A FURNISHED BY AIX 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</si>
</sst>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1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Sept%202024/copy%20of%20SOFTWARE1_v4%20(2)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PivotTable"/>
      <sheetName val="Interface"/>
      <sheetName val="Data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31" transitionEvaluation="1" transitionEntry="1" codeName="Sheet12"/>
  <dimension ref="A1:Q494"/>
  <sheetViews>
    <sheetView showGridLines="0" tabSelected="1" view="pageBreakPreview" topLeftCell="A31" zoomScale="55" zoomScaleNormal="85" zoomScaleSheetLayoutView="55" workbookViewId="0">
      <selection activeCell="K7" sqref="K7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43">
        <v>2024</v>
      </c>
      <c r="B1" s="143"/>
      <c r="C1" s="144" t="s">
        <v>0</v>
      </c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5" t="s">
        <v>40</v>
      </c>
      <c r="P1" s="145"/>
      <c r="Q1" s="145"/>
    </row>
    <row r="2" spans="1:17" ht="33" customHeight="1" x14ac:dyDescent="0.3">
      <c r="A2" s="146" t="s">
        <v>1</v>
      </c>
      <c r="B2" s="148" t="s">
        <v>2</v>
      </c>
      <c r="C2" s="148"/>
      <c r="D2" s="148"/>
      <c r="E2" s="149" t="s">
        <v>3</v>
      </c>
      <c r="F2" s="149" t="s">
        <v>4</v>
      </c>
      <c r="G2" s="149" t="s">
        <v>5</v>
      </c>
      <c r="H2" s="149" t="s">
        <v>6</v>
      </c>
      <c r="I2" s="148" t="s">
        <v>7</v>
      </c>
      <c r="J2" s="148"/>
      <c r="K2" s="148"/>
      <c r="L2" s="148" t="s">
        <v>8</v>
      </c>
      <c r="M2" s="148"/>
      <c r="N2" s="148"/>
      <c r="O2" s="148"/>
      <c r="P2" s="149" t="s">
        <v>9</v>
      </c>
      <c r="Q2" s="149" t="s">
        <v>10</v>
      </c>
    </row>
    <row r="3" spans="1:17" ht="155.25" customHeight="1" x14ac:dyDescent="0.3">
      <c r="A3" s="147"/>
      <c r="B3" s="2" t="s">
        <v>11</v>
      </c>
      <c r="C3" s="2" t="s">
        <v>12</v>
      </c>
      <c r="D3" s="2" t="s">
        <v>13</v>
      </c>
      <c r="E3" s="149"/>
      <c r="F3" s="149"/>
      <c r="G3" s="149"/>
      <c r="H3" s="149"/>
      <c r="I3" s="2" t="s">
        <v>14</v>
      </c>
      <c r="J3" s="3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149"/>
      <c r="Q3" s="149"/>
    </row>
    <row r="4" spans="1:17" ht="23.1" customHeight="1" x14ac:dyDescent="0.3">
      <c r="A4" s="4" t="s">
        <v>21</v>
      </c>
      <c r="B4" s="5">
        <v>5158</v>
      </c>
      <c r="C4" s="5">
        <v>9689.6333333333314</v>
      </c>
      <c r="D4" s="6">
        <v>5223.5559999999978</v>
      </c>
      <c r="E4" s="7">
        <v>802969</v>
      </c>
      <c r="F4" s="5">
        <v>824479.34399999934</v>
      </c>
      <c r="G4" s="5">
        <v>941483.04200000037</v>
      </c>
      <c r="H4" s="8">
        <f>IFERROR(F4/G4*100," ")</f>
        <v>87.572405154377591</v>
      </c>
      <c r="I4" s="9">
        <v>3252.9170300000023</v>
      </c>
      <c r="J4" s="10">
        <v>268.91692999999987</v>
      </c>
      <c r="K4" s="8">
        <f>IF(AND(ISBLANK(I4),ISBLANK(J4))=TRUE,"",I4+J4)</f>
        <v>3521.8339600000022</v>
      </c>
      <c r="L4" s="9">
        <v>61835.950800000057</v>
      </c>
      <c r="M4" s="10">
        <v>4074.20236763</v>
      </c>
      <c r="N4" s="10">
        <v>224.80794163000002</v>
      </c>
      <c r="O4" s="8">
        <f>IF(AND(ISBLANK(L4),ISBLANK(M4),ISBLANK(N4))=TRUE,"",L4+M4+N4)</f>
        <v>66134.961109260053</v>
      </c>
      <c r="P4" s="10">
        <v>104471.11999999992</v>
      </c>
      <c r="Q4" s="8">
        <f>IFERROR(O4/P4*100," ")</f>
        <v>63.3045391963445</v>
      </c>
    </row>
    <row r="5" spans="1:17" ht="23.1" customHeight="1" x14ac:dyDescent="0.3">
      <c r="A5" s="11" t="s">
        <v>22</v>
      </c>
      <c r="B5" s="12">
        <v>4933</v>
      </c>
      <c r="C5" s="12">
        <v>9296</v>
      </c>
      <c r="D5" s="11">
        <v>5015.6710000000039</v>
      </c>
      <c r="E5" s="13">
        <v>768022</v>
      </c>
      <c r="F5" s="12">
        <v>791997.5920000003</v>
      </c>
      <c r="G5" s="12">
        <v>904055.77199999953</v>
      </c>
      <c r="H5" s="14">
        <f t="shared" ref="H5:H16" si="0">IFERROR(F5/G5*100," ")</f>
        <v>87.604948337191829</v>
      </c>
      <c r="I5" s="15">
        <v>3125.9511499999981</v>
      </c>
      <c r="J5" s="16">
        <v>256.13847999999996</v>
      </c>
      <c r="K5" s="14">
        <f t="shared" ref="K5:K16" si="1">IF(AND(ISBLANK(I5),ISBLANK(J5))=TRUE,"",I5+J5)</f>
        <v>3382.0896299999981</v>
      </c>
      <c r="L5" s="15">
        <v>59399.8194</v>
      </c>
      <c r="M5" s="16">
        <v>3887.6729222899994</v>
      </c>
      <c r="N5" s="16">
        <v>212.92625567000002</v>
      </c>
      <c r="O5" s="14">
        <f t="shared" ref="O5:O16" si="2">IF(AND(ISBLANK(L5),ISBLANK(M5),ISBLANK(N5))=TRUE,"",L5+M5+N5)</f>
        <v>63500.418577959994</v>
      </c>
      <c r="P5" s="16">
        <v>100313.42000000006</v>
      </c>
      <c r="Q5" s="14">
        <f t="shared" ref="Q5:Q16" si="3">IFERROR(O5/P5*100," ")</f>
        <v>63.302017395040423</v>
      </c>
    </row>
    <row r="6" spans="1:17" ht="23.1" customHeight="1" x14ac:dyDescent="0.3">
      <c r="A6" s="17" t="s">
        <v>23</v>
      </c>
      <c r="B6" s="18">
        <v>5074</v>
      </c>
      <c r="C6" s="18">
        <v>9603</v>
      </c>
      <c r="D6" s="17">
        <v>5198</v>
      </c>
      <c r="E6" s="19">
        <v>769891</v>
      </c>
      <c r="F6" s="18">
        <v>797436</v>
      </c>
      <c r="G6" s="18">
        <v>936995</v>
      </c>
      <c r="H6" s="20">
        <f t="shared" si="0"/>
        <v>85.105683594896448</v>
      </c>
      <c r="I6" s="21">
        <v>3252.9170300000023</v>
      </c>
      <c r="J6" s="22">
        <v>268.91692999999987</v>
      </c>
      <c r="K6" s="20">
        <f t="shared" si="1"/>
        <v>3521.8339600000022</v>
      </c>
      <c r="L6" s="21">
        <v>59807</v>
      </c>
      <c r="M6" s="22">
        <v>3917</v>
      </c>
      <c r="N6" s="22">
        <v>273.17355086999999</v>
      </c>
      <c r="O6" s="20">
        <f t="shared" si="2"/>
        <v>63997.17355087</v>
      </c>
      <c r="P6" s="22">
        <v>103969.98000000001</v>
      </c>
      <c r="Q6" s="20">
        <f t="shared" si="3"/>
        <v>61.55351145673972</v>
      </c>
    </row>
    <row r="7" spans="1:17" ht="23.1" customHeight="1" x14ac:dyDescent="0.3">
      <c r="A7" s="11" t="s">
        <v>24</v>
      </c>
      <c r="B7" s="12">
        <v>4687</v>
      </c>
      <c r="C7" s="12">
        <v>8917.0999999999985</v>
      </c>
      <c r="D7" s="11">
        <v>4846.2390000000023</v>
      </c>
      <c r="E7" s="13">
        <v>716857</v>
      </c>
      <c r="F7" s="12">
        <v>749772.24999999988</v>
      </c>
      <c r="G7" s="12">
        <v>873583.38000000035</v>
      </c>
      <c r="H7" s="14">
        <f t="shared" si="0"/>
        <v>85.827210906874114</v>
      </c>
      <c r="I7" s="15">
        <v>2809.0469299999991</v>
      </c>
      <c r="J7" s="16">
        <v>226.12318000000002</v>
      </c>
      <c r="K7" s="14">
        <f t="shared" si="1"/>
        <v>3035.1701099999991</v>
      </c>
      <c r="L7" s="15">
        <v>56232.918750000012</v>
      </c>
      <c r="M7" s="16">
        <v>3466.5072493200023</v>
      </c>
      <c r="N7" s="16">
        <v>194.14448764999997</v>
      </c>
      <c r="O7" s="14">
        <f t="shared" si="2"/>
        <v>59893.570486970013</v>
      </c>
      <c r="P7" s="16">
        <v>96924.78</v>
      </c>
      <c r="Q7" s="14">
        <f t="shared" si="3"/>
        <v>61.79386787049711</v>
      </c>
    </row>
    <row r="8" spans="1:17" s="23" customFormat="1" ht="30" customHeight="1" x14ac:dyDescent="0.25">
      <c r="A8" s="17" t="s">
        <v>25</v>
      </c>
      <c r="B8" s="18">
        <v>4511</v>
      </c>
      <c r="C8" s="18">
        <v>8636.2999999999975</v>
      </c>
      <c r="D8" s="17">
        <v>4728.2399999999961</v>
      </c>
      <c r="E8" s="19">
        <v>703339</v>
      </c>
      <c r="F8" s="18">
        <v>740843.45900000026</v>
      </c>
      <c r="G8" s="18">
        <v>852135.12600000005</v>
      </c>
      <c r="H8" s="20">
        <f t="shared" si="0"/>
        <v>86.939669120035816</v>
      </c>
      <c r="I8" s="21">
        <v>3208.6143699999989</v>
      </c>
      <c r="J8" s="22">
        <v>201.47142000000005</v>
      </c>
      <c r="K8" s="20">
        <f t="shared" si="1"/>
        <v>3410.0857899999987</v>
      </c>
      <c r="L8" s="21">
        <v>74084.345899999986</v>
      </c>
      <c r="M8" s="22">
        <v>4048.8414798599993</v>
      </c>
      <c r="N8" s="22">
        <v>237.01687428</v>
      </c>
      <c r="O8" s="20">
        <f t="shared" si="2"/>
        <v>78370.204254139986</v>
      </c>
      <c r="P8" s="22">
        <v>94564.800000000003</v>
      </c>
      <c r="Q8" s="20">
        <f t="shared" si="3"/>
        <v>82.874604772748413</v>
      </c>
    </row>
    <row r="9" spans="1:17" ht="23.1" customHeight="1" x14ac:dyDescent="0.3">
      <c r="A9" s="11" t="s">
        <v>26</v>
      </c>
      <c r="B9" s="12">
        <v>4048</v>
      </c>
      <c r="C9" s="12">
        <v>7725.7999999999984</v>
      </c>
      <c r="D9" s="11">
        <v>4223.7779999999993</v>
      </c>
      <c r="E9" s="13">
        <v>637860</v>
      </c>
      <c r="F9" s="12">
        <v>674786.99899999995</v>
      </c>
      <c r="G9" s="12">
        <v>761644.69199999957</v>
      </c>
      <c r="H9" s="14">
        <f t="shared" si="0"/>
        <v>88.596035144429308</v>
      </c>
      <c r="I9" s="15">
        <v>2744.8327800000015</v>
      </c>
      <c r="J9" s="16">
        <v>213.31646000000003</v>
      </c>
      <c r="K9" s="14">
        <f t="shared" si="1"/>
        <v>2958.1492400000016</v>
      </c>
      <c r="L9" s="15">
        <v>67478.699900000007</v>
      </c>
      <c r="M9" s="16">
        <v>3531.6037572899991</v>
      </c>
      <c r="N9" s="16">
        <v>244.51081327999998</v>
      </c>
      <c r="O9" s="14">
        <f t="shared" si="2"/>
        <v>71254.814470569996</v>
      </c>
      <c r="P9" s="16">
        <v>84475.560000000012</v>
      </c>
      <c r="Q9" s="14">
        <f t="shared" si="3"/>
        <v>84.349620731215026</v>
      </c>
    </row>
    <row r="10" spans="1:17" ht="23.1" customHeight="1" x14ac:dyDescent="0.3">
      <c r="A10" s="17" t="s">
        <v>27</v>
      </c>
      <c r="B10" s="18">
        <v>3916</v>
      </c>
      <c r="C10" s="18">
        <v>7392.4500000000007</v>
      </c>
      <c r="D10" s="17">
        <v>4020.0429999999992</v>
      </c>
      <c r="E10" s="19">
        <v>590023</v>
      </c>
      <c r="F10" s="18">
        <v>621406.43399999966</v>
      </c>
      <c r="G10" s="18">
        <v>724893.59399999981</v>
      </c>
      <c r="H10" s="20">
        <f t="shared" si="0"/>
        <v>85.72381369395849</v>
      </c>
      <c r="I10" s="21">
        <v>2796.5148700000004</v>
      </c>
      <c r="J10" s="22">
        <v>232.62992</v>
      </c>
      <c r="K10" s="20">
        <f t="shared" si="1"/>
        <v>3029.1447900000003</v>
      </c>
      <c r="L10" s="21">
        <v>62140.643399999972</v>
      </c>
      <c r="M10" s="22">
        <v>3637.1589304799995</v>
      </c>
      <c r="N10" s="22">
        <v>189.55046209999992</v>
      </c>
      <c r="O10" s="20">
        <f t="shared" si="2"/>
        <v>65967.352792579972</v>
      </c>
      <c r="P10" s="22">
        <v>80400.859999999971</v>
      </c>
      <c r="Q10" s="20">
        <f t="shared" si="3"/>
        <v>82.048068630833043</v>
      </c>
    </row>
    <row r="11" spans="1:17" ht="23.1" customHeight="1" x14ac:dyDescent="0.3">
      <c r="A11" s="11" t="s">
        <v>28</v>
      </c>
      <c r="B11" s="12">
        <v>3857</v>
      </c>
      <c r="C11" s="12">
        <v>7316.5</v>
      </c>
      <c r="D11" s="11">
        <v>3986.7869999999975</v>
      </c>
      <c r="E11" s="13">
        <v>577347</v>
      </c>
      <c r="F11" s="12">
        <v>607076.09800000023</v>
      </c>
      <c r="G11" s="12">
        <v>718957.8000000004</v>
      </c>
      <c r="H11" s="14">
        <f t="shared" si="0"/>
        <v>84.438349232736599</v>
      </c>
      <c r="I11" s="15">
        <v>2538.5067800000002</v>
      </c>
      <c r="J11" s="16">
        <v>160.52768999999998</v>
      </c>
      <c r="K11" s="14">
        <f t="shared" si="1"/>
        <v>2699.0344700000001</v>
      </c>
      <c r="L11" s="15">
        <v>60707.609799999896</v>
      </c>
      <c r="M11" s="16">
        <v>3344.2116703800007</v>
      </c>
      <c r="N11" s="16">
        <v>139.37376539999997</v>
      </c>
      <c r="O11" s="14">
        <f t="shared" si="2"/>
        <v>64191.195235779895</v>
      </c>
      <c r="P11" s="16">
        <v>79735.739999999976</v>
      </c>
      <c r="Q11" s="14">
        <f t="shared" si="3"/>
        <v>80.504921928083846</v>
      </c>
    </row>
    <row r="12" spans="1:17" ht="23.1" customHeight="1" x14ac:dyDescent="0.3">
      <c r="A12" s="17" t="s">
        <v>29</v>
      </c>
      <c r="B12" s="18">
        <v>3684</v>
      </c>
      <c r="C12" s="18">
        <v>7027.6166666666677</v>
      </c>
      <c r="D12" s="17">
        <v>3846.9239999999982</v>
      </c>
      <c r="E12" s="19">
        <v>535294</v>
      </c>
      <c r="F12" s="18">
        <v>566013.82199999981</v>
      </c>
      <c r="G12" s="18">
        <v>693678.26399999973</v>
      </c>
      <c r="H12" s="20">
        <f t="shared" si="0"/>
        <v>81.596015238557342</v>
      </c>
      <c r="I12" s="21">
        <v>1461.3651999999997</v>
      </c>
      <c r="J12" s="22"/>
      <c r="K12" s="20">
        <f t="shared" si="1"/>
        <v>1461.3651999999997</v>
      </c>
      <c r="L12" s="21">
        <v>56601.382199999978</v>
      </c>
      <c r="M12" s="22">
        <v>1813.0537711999996</v>
      </c>
      <c r="N12" s="22"/>
      <c r="O12" s="20">
        <f t="shared" si="2"/>
        <v>58414.435971199979</v>
      </c>
      <c r="P12" s="22">
        <v>76938.479999999981</v>
      </c>
      <c r="Q12" s="20">
        <f t="shared" si="3"/>
        <v>75.923563828139038</v>
      </c>
    </row>
    <row r="13" spans="1:17" ht="23.1" customHeight="1" x14ac:dyDescent="0.3">
      <c r="A13" s="11" t="s">
        <v>30</v>
      </c>
      <c r="B13" s="12"/>
      <c r="C13" s="12"/>
      <c r="D13" s="11"/>
      <c r="E13" s="13"/>
      <c r="F13" s="12"/>
      <c r="G13" s="12"/>
      <c r="H13" s="14" t="str">
        <f t="shared" si="0"/>
        <v xml:space="preserve"> </v>
      </c>
      <c r="I13" s="15"/>
      <c r="J13" s="16"/>
      <c r="K13" s="14" t="str">
        <f t="shared" si="1"/>
        <v/>
      </c>
      <c r="L13" s="15"/>
      <c r="M13" s="16"/>
      <c r="N13" s="16"/>
      <c r="O13" s="14" t="str">
        <f t="shared" si="2"/>
        <v/>
      </c>
      <c r="P13" s="16"/>
      <c r="Q13" s="14" t="str">
        <f t="shared" si="3"/>
        <v xml:space="preserve"> </v>
      </c>
    </row>
    <row r="14" spans="1:17" ht="23.1" customHeight="1" x14ac:dyDescent="0.3">
      <c r="A14" s="17" t="s">
        <v>31</v>
      </c>
      <c r="B14" s="18"/>
      <c r="C14" s="18"/>
      <c r="D14" s="17"/>
      <c r="E14" s="19"/>
      <c r="F14" s="18"/>
      <c r="G14" s="18"/>
      <c r="H14" s="20" t="str">
        <f t="shared" si="0"/>
        <v xml:space="preserve"> </v>
      </c>
      <c r="I14" s="21"/>
      <c r="J14" s="22"/>
      <c r="K14" s="20" t="str">
        <f t="shared" si="1"/>
        <v/>
      </c>
      <c r="L14" s="21"/>
      <c r="M14" s="22"/>
      <c r="N14" s="22"/>
      <c r="O14" s="20" t="str">
        <f t="shared" si="2"/>
        <v/>
      </c>
      <c r="P14" s="22"/>
      <c r="Q14" s="20" t="str">
        <f t="shared" si="3"/>
        <v xml:space="preserve"> </v>
      </c>
    </row>
    <row r="15" spans="1:17" ht="23.1" customHeight="1" x14ac:dyDescent="0.3">
      <c r="A15" s="24" t="s">
        <v>32</v>
      </c>
      <c r="B15" s="25"/>
      <c r="C15" s="25"/>
      <c r="D15" s="26"/>
      <c r="E15" s="27"/>
      <c r="F15" s="25"/>
      <c r="G15" s="25"/>
      <c r="H15" s="28" t="str">
        <f t="shared" si="0"/>
        <v xml:space="preserve"> </v>
      </c>
      <c r="I15" s="29"/>
      <c r="J15" s="30"/>
      <c r="K15" s="28" t="str">
        <f t="shared" si="1"/>
        <v/>
      </c>
      <c r="L15" s="29"/>
      <c r="M15" s="30"/>
      <c r="N15" s="30"/>
      <c r="O15" s="28" t="str">
        <f t="shared" si="2"/>
        <v/>
      </c>
      <c r="P15" s="16"/>
      <c r="Q15" s="14" t="str">
        <f t="shared" si="3"/>
        <v xml:space="preserve"> </v>
      </c>
    </row>
    <row r="16" spans="1:17" ht="23.1" customHeight="1" x14ac:dyDescent="0.3">
      <c r="A16" s="31" t="s">
        <v>33</v>
      </c>
      <c r="B16" s="32">
        <f t="shared" ref="B16:G16" si="4">SUM(B4:B15)</f>
        <v>39868</v>
      </c>
      <c r="C16" s="32">
        <f t="shared" si="4"/>
        <v>75604.399999999994</v>
      </c>
      <c r="D16" s="32">
        <f t="shared" si="4"/>
        <v>41089.23799999999</v>
      </c>
      <c r="E16" s="32">
        <f t="shared" si="4"/>
        <v>6101602</v>
      </c>
      <c r="F16" s="32">
        <f t="shared" si="4"/>
        <v>6373811.9979999997</v>
      </c>
      <c r="G16" s="32">
        <f t="shared" si="4"/>
        <v>7407426.6699999999</v>
      </c>
      <c r="H16" s="33">
        <f t="shared" si="0"/>
        <v>86.046238214059827</v>
      </c>
      <c r="I16" s="33">
        <f>SUM(I4:I15)</f>
        <v>25190.666140000001</v>
      </c>
      <c r="J16" s="33">
        <f>SUM(J4:J15)</f>
        <v>1828.0410099999997</v>
      </c>
      <c r="K16" s="33">
        <f t="shared" si="1"/>
        <v>27018.707150000002</v>
      </c>
      <c r="L16" s="33">
        <f>SUM(L4:L15)</f>
        <v>558288.37014999986</v>
      </c>
      <c r="M16" s="33">
        <f>SUM(M4:M15)</f>
        <v>31720.252148450003</v>
      </c>
      <c r="N16" s="33">
        <f>SUM(N4:N15)</f>
        <v>1715.5041508799998</v>
      </c>
      <c r="O16" s="33">
        <f t="shared" si="2"/>
        <v>591724.12644932989</v>
      </c>
      <c r="P16" s="34">
        <f>SUM(P4:P15)</f>
        <v>821794.74</v>
      </c>
      <c r="Q16" s="34">
        <f t="shared" si="3"/>
        <v>72.003883408809585</v>
      </c>
    </row>
    <row r="17" spans="1:17" ht="20.100000000000001" customHeight="1" x14ac:dyDescent="0.3">
      <c r="A17" s="150" t="s">
        <v>41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</row>
    <row r="18" spans="1:17" s="35" customFormat="1" x14ac:dyDescent="0.25">
      <c r="A18" s="142" t="s">
        <v>34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</row>
    <row r="19" spans="1:17" s="35" customFormat="1" x14ac:dyDescent="0.25">
      <c r="A19" s="142" t="s">
        <v>35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</row>
    <row r="20" spans="1:17" ht="51.75" customHeight="1" x14ac:dyDescent="0.3">
      <c r="A20" s="152">
        <v>2024</v>
      </c>
      <c r="B20" s="152"/>
      <c r="C20" s="153" t="s">
        <v>36</v>
      </c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4" t="s">
        <v>40</v>
      </c>
      <c r="P20" s="154"/>
      <c r="Q20" s="155"/>
    </row>
    <row r="21" spans="1:17" ht="33" customHeight="1" x14ac:dyDescent="0.3">
      <c r="A21" s="156" t="s">
        <v>1</v>
      </c>
      <c r="B21" s="156" t="s">
        <v>2</v>
      </c>
      <c r="C21" s="156"/>
      <c r="D21" s="156"/>
      <c r="E21" s="157" t="s">
        <v>3</v>
      </c>
      <c r="F21" s="157" t="s">
        <v>4</v>
      </c>
      <c r="G21" s="157" t="s">
        <v>5</v>
      </c>
      <c r="H21" s="157" t="s">
        <v>6</v>
      </c>
      <c r="I21" s="156" t="s">
        <v>7</v>
      </c>
      <c r="J21" s="156"/>
      <c r="K21" s="156"/>
      <c r="L21" s="156" t="s">
        <v>8</v>
      </c>
      <c r="M21" s="156"/>
      <c r="N21" s="156"/>
      <c r="O21" s="156"/>
      <c r="P21" s="157" t="s">
        <v>9</v>
      </c>
      <c r="Q21" s="157" t="s">
        <v>10</v>
      </c>
    </row>
    <row r="22" spans="1:17" ht="150.75" customHeight="1" x14ac:dyDescent="0.3">
      <c r="A22" s="156"/>
      <c r="B22" s="36" t="s">
        <v>11</v>
      </c>
      <c r="C22" s="36" t="s">
        <v>12</v>
      </c>
      <c r="D22" s="36" t="s">
        <v>13</v>
      </c>
      <c r="E22" s="157"/>
      <c r="F22" s="157"/>
      <c r="G22" s="157"/>
      <c r="H22" s="157"/>
      <c r="I22" s="36" t="s">
        <v>14</v>
      </c>
      <c r="J22" s="37" t="s">
        <v>15</v>
      </c>
      <c r="K22" s="36" t="s">
        <v>16</v>
      </c>
      <c r="L22" s="38" t="s">
        <v>17</v>
      </c>
      <c r="M22" s="38" t="s">
        <v>18</v>
      </c>
      <c r="N22" s="38" t="s">
        <v>19</v>
      </c>
      <c r="O22" s="38" t="s">
        <v>20</v>
      </c>
      <c r="P22" s="158"/>
      <c r="Q22" s="158"/>
    </row>
    <row r="23" spans="1:17" ht="23.1" customHeight="1" x14ac:dyDescent="0.3">
      <c r="A23" s="39" t="s">
        <v>21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22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23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24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25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26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27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28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29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30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31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32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33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50" t="s">
        <v>41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</row>
    <row r="37" spans="1:17" x14ac:dyDescent="0.3">
      <c r="A37" s="142" t="s">
        <v>34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</row>
    <row r="38" spans="1:17" x14ac:dyDescent="0.3">
      <c r="A38" s="142" t="s">
        <v>35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</row>
    <row r="39" spans="1:17" ht="40.5" customHeight="1" x14ac:dyDescent="0.3">
      <c r="A39" s="159">
        <v>2024</v>
      </c>
      <c r="B39" s="159"/>
      <c r="C39" s="160" t="s">
        <v>37</v>
      </c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1" t="s">
        <v>40</v>
      </c>
      <c r="P39" s="161"/>
      <c r="Q39" s="161"/>
    </row>
    <row r="40" spans="1:17" ht="28.9" customHeight="1" x14ac:dyDescent="0.3">
      <c r="A40" s="162" t="s">
        <v>1</v>
      </c>
      <c r="B40" s="162" t="s">
        <v>2</v>
      </c>
      <c r="C40" s="162"/>
      <c r="D40" s="162"/>
      <c r="E40" s="163" t="s">
        <v>3</v>
      </c>
      <c r="F40" s="163" t="s">
        <v>4</v>
      </c>
      <c r="G40" s="163" t="s">
        <v>5</v>
      </c>
      <c r="H40" s="163" t="s">
        <v>6</v>
      </c>
      <c r="I40" s="162" t="s">
        <v>7</v>
      </c>
      <c r="J40" s="162"/>
      <c r="K40" s="162"/>
      <c r="L40" s="162" t="s">
        <v>8</v>
      </c>
      <c r="M40" s="162"/>
      <c r="N40" s="162"/>
      <c r="O40" s="162"/>
      <c r="P40" s="163" t="s">
        <v>9</v>
      </c>
      <c r="Q40" s="163" t="s">
        <v>10</v>
      </c>
    </row>
    <row r="41" spans="1:17" ht="178.5" customHeight="1" x14ac:dyDescent="0.3">
      <c r="A41" s="162"/>
      <c r="B41" s="67" t="s">
        <v>11</v>
      </c>
      <c r="C41" s="67" t="s">
        <v>12</v>
      </c>
      <c r="D41" s="67" t="s">
        <v>13</v>
      </c>
      <c r="E41" s="164"/>
      <c r="F41" s="164"/>
      <c r="G41" s="164"/>
      <c r="H41" s="164"/>
      <c r="I41" s="67" t="s">
        <v>14</v>
      </c>
      <c r="J41" s="68" t="s">
        <v>15</v>
      </c>
      <c r="K41" s="67" t="s">
        <v>16</v>
      </c>
      <c r="L41" s="67" t="s">
        <v>17</v>
      </c>
      <c r="M41" s="67" t="s">
        <v>18</v>
      </c>
      <c r="N41" s="67" t="s">
        <v>19</v>
      </c>
      <c r="O41" s="67" t="s">
        <v>20</v>
      </c>
      <c r="P41" s="164"/>
      <c r="Q41" s="164"/>
    </row>
    <row r="42" spans="1:17" ht="25.5" customHeight="1" x14ac:dyDescent="0.3">
      <c r="A42" s="69" t="s">
        <v>21</v>
      </c>
      <c r="B42" s="70">
        <v>6</v>
      </c>
      <c r="C42" s="71">
        <v>5.9</v>
      </c>
      <c r="D42" s="72">
        <v>5.0869999999999997</v>
      </c>
      <c r="E42" s="70">
        <v>896</v>
      </c>
      <c r="F42" s="71">
        <v>789.71199999999999</v>
      </c>
      <c r="G42" s="71">
        <v>928.71</v>
      </c>
      <c r="H42" s="73">
        <f t="shared" ref="H42:H54" si="10">IFERROR(F42/G42*100," ")</f>
        <v>85.033218119757507</v>
      </c>
      <c r="I42" s="74"/>
      <c r="J42" s="75"/>
      <c r="K42" s="73" t="str">
        <f>IF(AND(ISBLANK(I42),ISBLANK(J42))=TRUE,"",I42+J42)</f>
        <v/>
      </c>
      <c r="L42" s="74">
        <v>59.228399999999993</v>
      </c>
      <c r="M42" s="75"/>
      <c r="N42" s="75"/>
      <c r="O42" s="73">
        <f>IF(AND(ISBLANK(L42),ISBLANK(M42),ISBLANK(N42))=TRUE,"",L42+M42+N42)</f>
        <v>59.228399999999993</v>
      </c>
      <c r="P42" s="74">
        <v>101.74</v>
      </c>
      <c r="Q42" s="73">
        <f>IFERROR(O42/P42*100," ")</f>
        <v>58.215451149990173</v>
      </c>
    </row>
    <row r="43" spans="1:17" ht="25.5" customHeight="1" x14ac:dyDescent="0.3">
      <c r="A43" s="76" t="s">
        <v>22</v>
      </c>
      <c r="B43" s="77">
        <v>3</v>
      </c>
      <c r="C43" s="78">
        <v>3</v>
      </c>
      <c r="D43" s="79">
        <v>3</v>
      </c>
      <c r="E43" s="77">
        <v>349</v>
      </c>
      <c r="F43" s="78">
        <v>358</v>
      </c>
      <c r="G43" s="78">
        <v>484</v>
      </c>
      <c r="H43" s="80">
        <f t="shared" si="10"/>
        <v>73.966942148760324</v>
      </c>
      <c r="I43" s="81"/>
      <c r="J43" s="82"/>
      <c r="K43" s="80" t="str">
        <f t="shared" ref="K43:K54" si="11">IF(AND(ISBLANK(I43),ISBLANK(J43))=TRUE,"",I43+J43)</f>
        <v/>
      </c>
      <c r="L43" s="81">
        <v>27</v>
      </c>
      <c r="M43" s="82"/>
      <c r="N43" s="82"/>
      <c r="O43" s="80">
        <f t="shared" ref="O43:O54" si="12">IF(AND(ISBLANK(L43),ISBLANK(M43),ISBLANK(N43))=TRUE,"",L43+M43+N43)</f>
        <v>27</v>
      </c>
      <c r="P43" s="81">
        <v>54</v>
      </c>
      <c r="Q43" s="80">
        <f t="shared" ref="Q43:Q54" si="13">IFERROR(O43/P43*100," ")</f>
        <v>50</v>
      </c>
    </row>
    <row r="44" spans="1:17" ht="25.5" customHeight="1" x14ac:dyDescent="0.3">
      <c r="A44" s="69" t="s">
        <v>23</v>
      </c>
      <c r="B44" s="83">
        <v>9</v>
      </c>
      <c r="C44" s="84">
        <v>13</v>
      </c>
      <c r="D44" s="85">
        <v>4.1779999999999999</v>
      </c>
      <c r="E44" s="83">
        <v>1114</v>
      </c>
      <c r="F44" s="84">
        <v>512.404</v>
      </c>
      <c r="G44" s="84">
        <v>752.04</v>
      </c>
      <c r="H44" s="86">
        <f t="shared" si="10"/>
        <v>68.135205574171593</v>
      </c>
      <c r="I44" s="87"/>
      <c r="J44" s="88"/>
      <c r="K44" s="86" t="str">
        <f t="shared" si="11"/>
        <v/>
      </c>
      <c r="L44" s="87">
        <v>38.430299999999995</v>
      </c>
      <c r="M44" s="88"/>
      <c r="N44" s="88"/>
      <c r="O44" s="86">
        <f t="shared" si="12"/>
        <v>38.430299999999995</v>
      </c>
      <c r="P44" s="87">
        <v>83.559999999999988</v>
      </c>
      <c r="Q44" s="86">
        <f t="shared" si="13"/>
        <v>45.991263762565822</v>
      </c>
    </row>
    <row r="45" spans="1:17" ht="25.5" customHeight="1" x14ac:dyDescent="0.3">
      <c r="A45" s="76" t="s">
        <v>24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 t="str">
        <f t="shared" si="11"/>
        <v/>
      </c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25</v>
      </c>
      <c r="B46" s="83">
        <v>112</v>
      </c>
      <c r="C46" s="84">
        <v>149.31666666666666</v>
      </c>
      <c r="D46" s="85">
        <v>70</v>
      </c>
      <c r="E46" s="83">
        <v>16095</v>
      </c>
      <c r="F46" s="84">
        <v>10089.275</v>
      </c>
      <c r="G46" s="84">
        <v>12699.786</v>
      </c>
      <c r="H46" s="86">
        <f t="shared" si="10"/>
        <v>79.444448906461886</v>
      </c>
      <c r="I46" s="87"/>
      <c r="J46" s="88"/>
      <c r="K46" s="86" t="str">
        <f t="shared" si="11"/>
        <v/>
      </c>
      <c r="L46" s="87">
        <v>756.69562500000006</v>
      </c>
      <c r="M46" s="88"/>
      <c r="N46" s="88"/>
      <c r="O46" s="86">
        <f t="shared" si="12"/>
        <v>756.69562500000006</v>
      </c>
      <c r="P46" s="87">
        <v>1397.8400000000001</v>
      </c>
      <c r="Q46" s="86">
        <f t="shared" si="13"/>
        <v>54.133207305557143</v>
      </c>
    </row>
    <row r="47" spans="1:17" ht="25.5" customHeight="1" x14ac:dyDescent="0.3">
      <c r="A47" s="76" t="s">
        <v>26</v>
      </c>
      <c r="B47" s="90">
        <v>112</v>
      </c>
      <c r="C47" s="91">
        <v>149.16666666666666</v>
      </c>
      <c r="D47" s="79">
        <v>69.816000000000003</v>
      </c>
      <c r="E47" s="90">
        <v>17312</v>
      </c>
      <c r="F47" s="91">
        <v>10832.093999999999</v>
      </c>
      <c r="G47" s="91">
        <v>12682.26</v>
      </c>
      <c r="H47" s="80">
        <f t="shared" si="10"/>
        <v>85.411385667854148</v>
      </c>
      <c r="I47" s="92"/>
      <c r="J47" s="93"/>
      <c r="K47" s="80" t="str">
        <f t="shared" si="11"/>
        <v/>
      </c>
      <c r="L47" s="92">
        <v>812.40705000000003</v>
      </c>
      <c r="M47" s="93"/>
      <c r="N47" s="93"/>
      <c r="O47" s="80">
        <f t="shared" si="12"/>
        <v>812.40705000000003</v>
      </c>
      <c r="P47" s="92">
        <v>1396.3200000000002</v>
      </c>
      <c r="Q47" s="80">
        <f t="shared" si="13"/>
        <v>58.182010570642831</v>
      </c>
    </row>
    <row r="48" spans="1:17" s="101" customFormat="1" ht="25.5" customHeight="1" x14ac:dyDescent="0.3">
      <c r="A48" s="94" t="s">
        <v>27</v>
      </c>
      <c r="B48" s="95">
        <v>118</v>
      </c>
      <c r="C48" s="96">
        <v>156.15</v>
      </c>
      <c r="D48" s="97">
        <v>72.69</v>
      </c>
      <c r="E48" s="95">
        <v>19055</v>
      </c>
      <c r="F48" s="96">
        <v>11901.396999999999</v>
      </c>
      <c r="G48" s="96">
        <v>13302.269999999999</v>
      </c>
      <c r="H48" s="98">
        <f t="shared" si="10"/>
        <v>89.468917711037292</v>
      </c>
      <c r="I48" s="99"/>
      <c r="J48" s="100"/>
      <c r="K48" s="98" t="str">
        <f t="shared" si="11"/>
        <v/>
      </c>
      <c r="L48" s="99">
        <v>892.60477500000002</v>
      </c>
      <c r="M48" s="100"/>
      <c r="N48" s="100"/>
      <c r="O48" s="98">
        <f t="shared" si="12"/>
        <v>892.60477500000002</v>
      </c>
      <c r="P48" s="99">
        <v>1453.8</v>
      </c>
      <c r="Q48" s="98">
        <f t="shared" si="13"/>
        <v>61.398044779199346</v>
      </c>
    </row>
    <row r="49" spans="1:17" ht="25.5" customHeight="1" x14ac:dyDescent="0.3">
      <c r="A49" s="76" t="s">
        <v>28</v>
      </c>
      <c r="B49" s="90">
        <v>114</v>
      </c>
      <c r="C49" s="91">
        <v>151.9</v>
      </c>
      <c r="D49" s="102">
        <v>71.097999999999999</v>
      </c>
      <c r="E49" s="90">
        <v>18195</v>
      </c>
      <c r="F49" s="91">
        <v>11364.922999999999</v>
      </c>
      <c r="G49" s="91">
        <v>12916.866</v>
      </c>
      <c r="H49" s="80">
        <f t="shared" si="10"/>
        <v>87.985142835731196</v>
      </c>
      <c r="I49" s="92"/>
      <c r="J49" s="93"/>
      <c r="K49" s="80" t="str">
        <f t="shared" si="11"/>
        <v/>
      </c>
      <c r="L49" s="92">
        <v>852.36922499999991</v>
      </c>
      <c r="M49" s="93"/>
      <c r="N49" s="93"/>
      <c r="O49" s="80">
        <f t="shared" si="12"/>
        <v>852.36922499999991</v>
      </c>
      <c r="P49" s="92">
        <v>1421.96</v>
      </c>
      <c r="Q49" s="80">
        <f t="shared" si="13"/>
        <v>59.943263171959828</v>
      </c>
    </row>
    <row r="50" spans="1:17" ht="25.5" customHeight="1" x14ac:dyDescent="0.3">
      <c r="A50" s="69" t="s">
        <v>29</v>
      </c>
      <c r="B50" s="103">
        <v>112</v>
      </c>
      <c r="C50" s="104">
        <v>149.16666666666666</v>
      </c>
      <c r="D50" s="105">
        <v>69.816000000000003</v>
      </c>
      <c r="E50" s="103">
        <v>18289</v>
      </c>
      <c r="F50" s="104">
        <v>11404.466999999999</v>
      </c>
      <c r="G50" s="104">
        <v>12682.26</v>
      </c>
      <c r="H50" s="86">
        <f t="shared" si="10"/>
        <v>89.924563918418315</v>
      </c>
      <c r="I50" s="106"/>
      <c r="J50" s="107"/>
      <c r="K50" s="86" t="str">
        <f t="shared" si="11"/>
        <v/>
      </c>
      <c r="L50" s="106">
        <v>855.33502499999997</v>
      </c>
      <c r="M50" s="107"/>
      <c r="N50" s="107"/>
      <c r="O50" s="86">
        <f t="shared" si="12"/>
        <v>855.33502499999997</v>
      </c>
      <c r="P50" s="106">
        <v>1396.3200000000002</v>
      </c>
      <c r="Q50" s="86">
        <f t="shared" si="13"/>
        <v>61.256375687521484</v>
      </c>
    </row>
    <row r="51" spans="1:17" ht="25.5" customHeight="1" x14ac:dyDescent="0.3">
      <c r="A51" s="76" t="s">
        <v>30</v>
      </c>
      <c r="B51" s="90"/>
      <c r="C51" s="91"/>
      <c r="D51" s="102"/>
      <c r="E51" s="90"/>
      <c r="F51" s="91"/>
      <c r="G51" s="91"/>
      <c r="H51" s="80" t="str">
        <f t="shared" si="10"/>
        <v xml:space="preserve"> </v>
      </c>
      <c r="I51" s="92"/>
      <c r="J51" s="93"/>
      <c r="K51" s="80" t="str">
        <f t="shared" si="11"/>
        <v/>
      </c>
      <c r="L51" s="92"/>
      <c r="M51" s="93"/>
      <c r="N51" s="93"/>
      <c r="O51" s="80" t="str">
        <f t="shared" si="12"/>
        <v/>
      </c>
      <c r="P51" s="92"/>
      <c r="Q51" s="80" t="str">
        <f t="shared" si="13"/>
        <v xml:space="preserve"> </v>
      </c>
    </row>
    <row r="52" spans="1:17" ht="25.5" customHeight="1" x14ac:dyDescent="0.3">
      <c r="A52" s="69" t="s">
        <v>31</v>
      </c>
      <c r="B52" s="103"/>
      <c r="C52" s="104"/>
      <c r="D52" s="105"/>
      <c r="E52" s="103"/>
      <c r="F52" s="104"/>
      <c r="G52" s="104"/>
      <c r="H52" s="86" t="str">
        <f t="shared" si="10"/>
        <v xml:space="preserve"> </v>
      </c>
      <c r="I52" s="106"/>
      <c r="J52" s="107"/>
      <c r="K52" s="86" t="str">
        <f t="shared" si="11"/>
        <v/>
      </c>
      <c r="L52" s="106"/>
      <c r="M52" s="107"/>
      <c r="N52" s="107"/>
      <c r="O52" s="86" t="str">
        <f t="shared" si="12"/>
        <v/>
      </c>
      <c r="P52" s="106"/>
      <c r="Q52" s="86" t="str">
        <f t="shared" si="13"/>
        <v xml:space="preserve"> </v>
      </c>
    </row>
    <row r="53" spans="1:17" ht="25.5" customHeight="1" x14ac:dyDescent="0.3">
      <c r="A53" s="76" t="s">
        <v>32</v>
      </c>
      <c r="B53" s="108"/>
      <c r="C53" s="109"/>
      <c r="D53" s="110"/>
      <c r="E53" s="108"/>
      <c r="F53" s="109"/>
      <c r="G53" s="109"/>
      <c r="H53" s="111" t="str">
        <f t="shared" si="10"/>
        <v xml:space="preserve"> </v>
      </c>
      <c r="I53" s="112"/>
      <c r="J53" s="113"/>
      <c r="K53" s="111" t="str">
        <f t="shared" si="11"/>
        <v/>
      </c>
      <c r="L53" s="112"/>
      <c r="M53" s="113"/>
      <c r="N53" s="113"/>
      <c r="O53" s="111" t="str">
        <f t="shared" si="12"/>
        <v/>
      </c>
      <c r="P53" s="112"/>
      <c r="Q53" s="111" t="str">
        <f t="shared" si="13"/>
        <v xml:space="preserve"> </v>
      </c>
    </row>
    <row r="54" spans="1:17" ht="25.5" customHeight="1" x14ac:dyDescent="0.3">
      <c r="A54" s="114" t="s">
        <v>33</v>
      </c>
      <c r="B54" s="115">
        <f t="shared" ref="B54:G54" si="14">SUM(B42:B53)</f>
        <v>586</v>
      </c>
      <c r="C54" s="115">
        <f t="shared" si="14"/>
        <v>777.59999999999991</v>
      </c>
      <c r="D54" s="115">
        <f t="shared" si="14"/>
        <v>365.68500000000006</v>
      </c>
      <c r="E54" s="115">
        <f t="shared" si="14"/>
        <v>91305</v>
      </c>
      <c r="F54" s="115">
        <f t="shared" si="14"/>
        <v>57252.27199999999</v>
      </c>
      <c r="G54" s="115">
        <f t="shared" si="14"/>
        <v>66448.191999999995</v>
      </c>
      <c r="H54" s="116">
        <f t="shared" si="10"/>
        <v>86.160767173319016</v>
      </c>
      <c r="I54" s="116">
        <f>SUM(I42:I53)</f>
        <v>0</v>
      </c>
      <c r="J54" s="116">
        <f>SUM(J42:J53)</f>
        <v>0</v>
      </c>
      <c r="K54" s="116">
        <f t="shared" si="11"/>
        <v>0</v>
      </c>
      <c r="L54" s="116">
        <f>SUM(L42:L53)</f>
        <v>4294.0703999999996</v>
      </c>
      <c r="M54" s="116">
        <f>SUM(M42:M53)</f>
        <v>0</v>
      </c>
      <c r="N54" s="116">
        <f>SUM(N42:N53)</f>
        <v>0</v>
      </c>
      <c r="O54" s="116">
        <f t="shared" si="12"/>
        <v>4294.0703999999996</v>
      </c>
      <c r="P54" s="117">
        <f>SUM(P42:P53)</f>
        <v>7305.5400000000009</v>
      </c>
      <c r="Q54" s="116">
        <f t="shared" si="13"/>
        <v>58.778275117239772</v>
      </c>
    </row>
    <row r="55" spans="1:17" ht="22.5" customHeight="1" x14ac:dyDescent="0.3">
      <c r="A55" s="150" t="s">
        <v>41</v>
      </c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</row>
    <row r="56" spans="1:17" ht="22.5" customHeight="1" x14ac:dyDescent="0.3">
      <c r="A56" s="142" t="s">
        <v>34</v>
      </c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</row>
    <row r="57" spans="1:17" ht="22.5" customHeight="1" x14ac:dyDescent="0.3">
      <c r="A57" s="142" t="s">
        <v>35</v>
      </c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</row>
    <row r="58" spans="1:17" ht="47.25" customHeight="1" x14ac:dyDescent="0.3">
      <c r="A58" s="165">
        <v>2024</v>
      </c>
      <c r="B58" s="165"/>
      <c r="C58" s="166" t="s">
        <v>38</v>
      </c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7" t="s">
        <v>40</v>
      </c>
      <c r="P58" s="167"/>
      <c r="Q58" s="167"/>
    </row>
    <row r="59" spans="1:17" ht="28.9" customHeight="1" x14ac:dyDescent="0.3">
      <c r="A59" s="168" t="s">
        <v>1</v>
      </c>
      <c r="B59" s="168" t="s">
        <v>2</v>
      </c>
      <c r="C59" s="168"/>
      <c r="D59" s="168"/>
      <c r="E59" s="169" t="s">
        <v>3</v>
      </c>
      <c r="F59" s="169" t="s">
        <v>4</v>
      </c>
      <c r="G59" s="169" t="s">
        <v>5</v>
      </c>
      <c r="H59" s="169" t="s">
        <v>6</v>
      </c>
      <c r="I59" s="168" t="s">
        <v>7</v>
      </c>
      <c r="J59" s="168"/>
      <c r="K59" s="168"/>
      <c r="L59" s="168" t="s">
        <v>8</v>
      </c>
      <c r="M59" s="168"/>
      <c r="N59" s="168"/>
      <c r="O59" s="168"/>
      <c r="P59" s="169" t="s">
        <v>9</v>
      </c>
      <c r="Q59" s="169" t="s">
        <v>10</v>
      </c>
    </row>
    <row r="60" spans="1:17" ht="164.25" customHeight="1" x14ac:dyDescent="0.3">
      <c r="A60" s="168"/>
      <c r="B60" s="118" t="s">
        <v>11</v>
      </c>
      <c r="C60" s="118" t="s">
        <v>12</v>
      </c>
      <c r="D60" s="118" t="s">
        <v>13</v>
      </c>
      <c r="E60" s="170"/>
      <c r="F60" s="170"/>
      <c r="G60" s="170"/>
      <c r="H60" s="170"/>
      <c r="I60" s="118" t="s">
        <v>14</v>
      </c>
      <c r="J60" s="119" t="s">
        <v>15</v>
      </c>
      <c r="K60" s="118" t="s">
        <v>16</v>
      </c>
      <c r="L60" s="118" t="s">
        <v>17</v>
      </c>
      <c r="M60" s="118" t="s">
        <v>18</v>
      </c>
      <c r="N60" s="118" t="s">
        <v>19</v>
      </c>
      <c r="O60" s="118" t="s">
        <v>20</v>
      </c>
      <c r="P60" s="170"/>
      <c r="Q60" s="170"/>
    </row>
    <row r="61" spans="1:17" ht="24.75" customHeight="1" x14ac:dyDescent="0.3">
      <c r="A61" s="120" t="s">
        <v>21</v>
      </c>
      <c r="B61" s="121"/>
      <c r="C61" s="122"/>
      <c r="D61" s="123"/>
      <c r="E61" s="121"/>
      <c r="F61" s="122"/>
      <c r="G61" s="122"/>
      <c r="H61" s="124" t="str">
        <f t="shared" ref="H61:H73" si="15">IFERROR(F61/G61*100," ")</f>
        <v xml:space="preserve"> </v>
      </c>
      <c r="I61" s="125"/>
      <c r="J61" s="126"/>
      <c r="K61" s="126" t="str">
        <f>IF(AND(ISBLANK(I61),ISBLANK(J61))=TRUE,"",I61+J61)</f>
        <v/>
      </c>
      <c r="L61" s="125"/>
      <c r="M61" s="126"/>
      <c r="N61" s="126"/>
      <c r="O61" s="127" t="str">
        <f>IF(AND(ISBLANK(L61),ISBLANK(M61),ISBLANK(N61))=TRUE,"",L61+M61+N61)</f>
        <v/>
      </c>
      <c r="P61" s="126"/>
      <c r="Q61" s="124" t="str">
        <f>IFERROR(O61/P61*100," ")</f>
        <v xml:space="preserve"> </v>
      </c>
    </row>
    <row r="62" spans="1:17" ht="24.75" customHeight="1" x14ac:dyDescent="0.3">
      <c r="A62" s="76" t="s">
        <v>22</v>
      </c>
      <c r="B62" s="90"/>
      <c r="C62" s="91"/>
      <c r="D62" s="102"/>
      <c r="E62" s="90"/>
      <c r="F62" s="91"/>
      <c r="G62" s="91"/>
      <c r="H62" s="128" t="str">
        <f t="shared" si="15"/>
        <v xml:space="preserve"> </v>
      </c>
      <c r="I62" s="92"/>
      <c r="J62" s="93"/>
      <c r="K62" s="93" t="str">
        <f t="shared" ref="K62:K73" si="16">IF(AND(ISBLANK(I62),ISBLANK(J62))=TRUE,"",I62+J62)</f>
        <v/>
      </c>
      <c r="L62" s="92"/>
      <c r="M62" s="93"/>
      <c r="N62" s="93"/>
      <c r="O62" s="80" t="str">
        <f t="shared" ref="O62:O73" si="17">IF(AND(ISBLANK(L62),ISBLANK(M62),ISBLANK(N62))=TRUE,"",L62+M62+N62)</f>
        <v/>
      </c>
      <c r="P62" s="93"/>
      <c r="Q62" s="128" t="str">
        <f t="shared" ref="Q62:Q73" si="18">IFERROR(O62/P62*100," ")</f>
        <v xml:space="preserve"> </v>
      </c>
    </row>
    <row r="63" spans="1:17" ht="24.75" customHeight="1" x14ac:dyDescent="0.3">
      <c r="A63" s="120" t="s">
        <v>23</v>
      </c>
      <c r="B63" s="129"/>
      <c r="C63" s="130"/>
      <c r="D63" s="131"/>
      <c r="E63" s="129"/>
      <c r="F63" s="130"/>
      <c r="G63" s="130"/>
      <c r="H63" s="132" t="str">
        <f t="shared" si="15"/>
        <v xml:space="preserve"> </v>
      </c>
      <c r="I63" s="133"/>
      <c r="J63" s="134"/>
      <c r="K63" s="134" t="str">
        <f t="shared" si="16"/>
        <v/>
      </c>
      <c r="L63" s="133"/>
      <c r="M63" s="134"/>
      <c r="N63" s="134"/>
      <c r="O63" s="135" t="str">
        <f t="shared" si="17"/>
        <v/>
      </c>
      <c r="P63" s="134"/>
      <c r="Q63" s="132" t="str">
        <f t="shared" si="18"/>
        <v xml:space="preserve"> </v>
      </c>
    </row>
    <row r="64" spans="1:17" ht="24.75" customHeight="1" x14ac:dyDescent="0.3">
      <c r="A64" s="76" t="s">
        <v>24</v>
      </c>
      <c r="B64" s="90"/>
      <c r="C64" s="91"/>
      <c r="D64" s="102"/>
      <c r="E64" s="90"/>
      <c r="F64" s="91"/>
      <c r="G64" s="91"/>
      <c r="H64" s="128" t="str">
        <f t="shared" si="15"/>
        <v xml:space="preserve"> </v>
      </c>
      <c r="I64" s="92"/>
      <c r="J64" s="93"/>
      <c r="K64" s="93" t="str">
        <f t="shared" si="16"/>
        <v/>
      </c>
      <c r="L64" s="92"/>
      <c r="M64" s="93"/>
      <c r="N64" s="93"/>
      <c r="O64" s="80" t="str">
        <f t="shared" si="17"/>
        <v/>
      </c>
      <c r="P64" s="93"/>
      <c r="Q64" s="128" t="str">
        <f t="shared" si="18"/>
        <v xml:space="preserve"> </v>
      </c>
    </row>
    <row r="65" spans="1:17" ht="24.75" customHeight="1" x14ac:dyDescent="0.3">
      <c r="A65" s="120" t="s">
        <v>25</v>
      </c>
      <c r="B65" s="129"/>
      <c r="C65" s="130"/>
      <c r="D65" s="131"/>
      <c r="E65" s="129"/>
      <c r="F65" s="130"/>
      <c r="G65" s="130"/>
      <c r="H65" s="132" t="str">
        <f t="shared" si="15"/>
        <v xml:space="preserve"> </v>
      </c>
      <c r="I65" s="133"/>
      <c r="J65" s="134"/>
      <c r="K65" s="134" t="str">
        <f t="shared" si="16"/>
        <v/>
      </c>
      <c r="L65" s="133"/>
      <c r="M65" s="134"/>
      <c r="N65" s="134"/>
      <c r="O65" s="135" t="str">
        <f t="shared" si="17"/>
        <v/>
      </c>
      <c r="P65" s="134"/>
      <c r="Q65" s="132" t="str">
        <f t="shared" si="18"/>
        <v xml:space="preserve"> </v>
      </c>
    </row>
    <row r="66" spans="1:17" ht="24.75" customHeight="1" x14ac:dyDescent="0.3">
      <c r="A66" s="76" t="s">
        <v>26</v>
      </c>
      <c r="B66" s="90"/>
      <c r="C66" s="91"/>
      <c r="D66" s="102"/>
      <c r="E66" s="90"/>
      <c r="F66" s="91"/>
      <c r="G66" s="91"/>
      <c r="H66" s="128" t="str">
        <f t="shared" si="15"/>
        <v xml:space="preserve"> </v>
      </c>
      <c r="I66" s="92"/>
      <c r="J66" s="93"/>
      <c r="K66" s="93" t="str">
        <f t="shared" si="16"/>
        <v/>
      </c>
      <c r="L66" s="92"/>
      <c r="M66" s="93"/>
      <c r="N66" s="93"/>
      <c r="O66" s="80" t="str">
        <f t="shared" si="17"/>
        <v/>
      </c>
      <c r="P66" s="93"/>
      <c r="Q66" s="128" t="str">
        <f t="shared" si="18"/>
        <v xml:space="preserve"> </v>
      </c>
    </row>
    <row r="67" spans="1:17" ht="24.75" customHeight="1" x14ac:dyDescent="0.3">
      <c r="A67" s="120" t="s">
        <v>27</v>
      </c>
      <c r="B67" s="129"/>
      <c r="C67" s="130"/>
      <c r="D67" s="131"/>
      <c r="E67" s="129"/>
      <c r="F67" s="130"/>
      <c r="G67" s="130"/>
      <c r="H67" s="132" t="str">
        <f t="shared" si="15"/>
        <v xml:space="preserve"> </v>
      </c>
      <c r="I67" s="133"/>
      <c r="J67" s="134"/>
      <c r="K67" s="134" t="str">
        <f t="shared" si="16"/>
        <v/>
      </c>
      <c r="L67" s="133"/>
      <c r="M67" s="134"/>
      <c r="N67" s="134"/>
      <c r="O67" s="135" t="str">
        <f t="shared" si="17"/>
        <v/>
      </c>
      <c r="P67" s="134"/>
      <c r="Q67" s="132" t="str">
        <f t="shared" si="18"/>
        <v xml:space="preserve"> </v>
      </c>
    </row>
    <row r="68" spans="1:17" ht="24.75" customHeight="1" x14ac:dyDescent="0.3">
      <c r="A68" s="76" t="s">
        <v>28</v>
      </c>
      <c r="B68" s="90"/>
      <c r="C68" s="91"/>
      <c r="D68" s="102"/>
      <c r="E68" s="90"/>
      <c r="F68" s="91"/>
      <c r="G68" s="91"/>
      <c r="H68" s="128" t="str">
        <f t="shared" si="15"/>
        <v xml:space="preserve"> </v>
      </c>
      <c r="I68" s="92"/>
      <c r="J68" s="93"/>
      <c r="K68" s="93" t="str">
        <f t="shared" si="16"/>
        <v/>
      </c>
      <c r="L68" s="92"/>
      <c r="M68" s="93"/>
      <c r="N68" s="93"/>
      <c r="O68" s="80" t="str">
        <f t="shared" si="17"/>
        <v/>
      </c>
      <c r="P68" s="93"/>
      <c r="Q68" s="128" t="str">
        <f t="shared" si="18"/>
        <v xml:space="preserve"> </v>
      </c>
    </row>
    <row r="69" spans="1:17" ht="24.75" customHeight="1" x14ac:dyDescent="0.3">
      <c r="A69" s="120" t="s">
        <v>29</v>
      </c>
      <c r="B69" s="129"/>
      <c r="C69" s="130"/>
      <c r="D69" s="131"/>
      <c r="E69" s="129"/>
      <c r="F69" s="130"/>
      <c r="G69" s="130"/>
      <c r="H69" s="132" t="str">
        <f t="shared" si="15"/>
        <v xml:space="preserve"> </v>
      </c>
      <c r="I69" s="133"/>
      <c r="J69" s="134"/>
      <c r="K69" s="134" t="str">
        <f t="shared" si="16"/>
        <v/>
      </c>
      <c r="L69" s="133"/>
      <c r="M69" s="134"/>
      <c r="N69" s="134"/>
      <c r="O69" s="135" t="str">
        <f t="shared" si="17"/>
        <v/>
      </c>
      <c r="P69" s="134"/>
      <c r="Q69" s="132" t="str">
        <f t="shared" si="18"/>
        <v xml:space="preserve"> </v>
      </c>
    </row>
    <row r="70" spans="1:17" ht="24.75" customHeight="1" x14ac:dyDescent="0.3">
      <c r="A70" s="76" t="s">
        <v>30</v>
      </c>
      <c r="B70" s="90"/>
      <c r="C70" s="91"/>
      <c r="D70" s="102"/>
      <c r="E70" s="90"/>
      <c r="F70" s="91"/>
      <c r="G70" s="91"/>
      <c r="H70" s="128" t="str">
        <f t="shared" si="15"/>
        <v xml:space="preserve"> </v>
      </c>
      <c r="I70" s="92"/>
      <c r="J70" s="93"/>
      <c r="K70" s="93" t="str">
        <f t="shared" si="16"/>
        <v/>
      </c>
      <c r="L70" s="92"/>
      <c r="M70" s="93"/>
      <c r="N70" s="93"/>
      <c r="O70" s="80" t="str">
        <f t="shared" si="17"/>
        <v/>
      </c>
      <c r="P70" s="93"/>
      <c r="Q70" s="128" t="str">
        <f t="shared" si="18"/>
        <v xml:space="preserve"> </v>
      </c>
    </row>
    <row r="71" spans="1:17" ht="24.75" customHeight="1" x14ac:dyDescent="0.3">
      <c r="A71" s="120" t="s">
        <v>31</v>
      </c>
      <c r="B71" s="129"/>
      <c r="C71" s="130"/>
      <c r="D71" s="131"/>
      <c r="E71" s="129"/>
      <c r="F71" s="130"/>
      <c r="G71" s="130"/>
      <c r="H71" s="132" t="str">
        <f t="shared" si="15"/>
        <v xml:space="preserve"> </v>
      </c>
      <c r="I71" s="133"/>
      <c r="J71" s="134"/>
      <c r="K71" s="134" t="str">
        <f t="shared" si="16"/>
        <v/>
      </c>
      <c r="L71" s="133"/>
      <c r="M71" s="134"/>
      <c r="N71" s="134"/>
      <c r="O71" s="135" t="str">
        <f t="shared" si="17"/>
        <v/>
      </c>
      <c r="P71" s="134"/>
      <c r="Q71" s="132" t="str">
        <f t="shared" si="18"/>
        <v xml:space="preserve"> </v>
      </c>
    </row>
    <row r="72" spans="1:17" ht="24.75" customHeight="1" x14ac:dyDescent="0.3">
      <c r="A72" s="76" t="s">
        <v>32</v>
      </c>
      <c r="B72" s="108"/>
      <c r="C72" s="109"/>
      <c r="D72" s="110"/>
      <c r="E72" s="108"/>
      <c r="F72" s="109"/>
      <c r="G72" s="109"/>
      <c r="H72" s="111" t="str">
        <f t="shared" si="15"/>
        <v xml:space="preserve"> </v>
      </c>
      <c r="I72" s="112"/>
      <c r="J72" s="113"/>
      <c r="K72" s="113" t="str">
        <f t="shared" si="16"/>
        <v/>
      </c>
      <c r="L72" s="112"/>
      <c r="M72" s="113"/>
      <c r="N72" s="113"/>
      <c r="O72" s="111" t="str">
        <f t="shared" si="17"/>
        <v/>
      </c>
      <c r="P72" s="113"/>
      <c r="Q72" s="111" t="str">
        <f t="shared" si="18"/>
        <v xml:space="preserve"> </v>
      </c>
    </row>
    <row r="73" spans="1:17" ht="24.75" customHeight="1" x14ac:dyDescent="0.3">
      <c r="A73" s="136" t="s">
        <v>33</v>
      </c>
      <c r="B73" s="137">
        <f t="shared" ref="B73:G73" si="19">SUM(B61:B72)</f>
        <v>0</v>
      </c>
      <c r="C73" s="137">
        <f t="shared" si="19"/>
        <v>0</v>
      </c>
      <c r="D73" s="137">
        <f t="shared" si="19"/>
        <v>0</v>
      </c>
      <c r="E73" s="137">
        <f t="shared" si="19"/>
        <v>0</v>
      </c>
      <c r="F73" s="137">
        <f t="shared" si="19"/>
        <v>0</v>
      </c>
      <c r="G73" s="137">
        <f t="shared" si="19"/>
        <v>0</v>
      </c>
      <c r="H73" s="138" t="str">
        <f t="shared" si="15"/>
        <v xml:space="preserve"> </v>
      </c>
      <c r="I73" s="139">
        <f>SUM(I61:I72)</f>
        <v>0</v>
      </c>
      <c r="J73" s="139">
        <f>SUM(J61:J72)</f>
        <v>0</v>
      </c>
      <c r="K73" s="139">
        <f t="shared" si="16"/>
        <v>0</v>
      </c>
      <c r="L73" s="139">
        <f>SUM(L61:L72)</f>
        <v>0</v>
      </c>
      <c r="M73" s="139">
        <f>SUM(M61:M72)</f>
        <v>0</v>
      </c>
      <c r="N73" s="139">
        <f>SUM(N61:N72)</f>
        <v>0</v>
      </c>
      <c r="O73" s="139">
        <f t="shared" si="17"/>
        <v>0</v>
      </c>
      <c r="P73" s="139">
        <f>SUM(P61:P72)</f>
        <v>0</v>
      </c>
      <c r="Q73" s="138" t="str">
        <f t="shared" si="18"/>
        <v xml:space="preserve"> </v>
      </c>
    </row>
    <row r="74" spans="1:17" x14ac:dyDescent="0.3">
      <c r="A74" s="150" t="s">
        <v>41</v>
      </c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</row>
    <row r="75" spans="1:17" x14ac:dyDescent="0.3">
      <c r="A75" s="142" t="s">
        <v>34</v>
      </c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</row>
    <row r="76" spans="1:17" x14ac:dyDescent="0.3">
      <c r="A76" s="142" t="s">
        <v>35</v>
      </c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</row>
    <row r="79" spans="1:17" x14ac:dyDescent="0.3">
      <c r="H79" s="140"/>
      <c r="Q79" s="140"/>
    </row>
    <row r="81" spans="8:17" x14ac:dyDescent="0.3">
      <c r="H81" s="140"/>
      <c r="Q81" s="140"/>
    </row>
    <row r="83" spans="8:17" x14ac:dyDescent="0.3">
      <c r="H83" s="140"/>
      <c r="Q83" s="140"/>
    </row>
    <row r="85" spans="8:17" x14ac:dyDescent="0.3">
      <c r="H85" s="140"/>
      <c r="Q85" s="140"/>
    </row>
    <row r="87" spans="8:17" x14ac:dyDescent="0.3">
      <c r="H87" s="140"/>
      <c r="Q87" s="140"/>
    </row>
    <row r="89" spans="8:17" x14ac:dyDescent="0.3">
      <c r="H89" s="140"/>
      <c r="Q89" s="140"/>
    </row>
    <row r="91" spans="8:17" x14ac:dyDescent="0.3">
      <c r="H91" s="140"/>
      <c r="Q91" s="140"/>
    </row>
    <row r="93" spans="8:17" x14ac:dyDescent="0.3">
      <c r="H93" s="140"/>
      <c r="Q93" s="140"/>
    </row>
    <row r="95" spans="8:17" x14ac:dyDescent="0.3">
      <c r="H95" s="140"/>
      <c r="Q95" s="140"/>
    </row>
    <row r="96" spans="8:17" x14ac:dyDescent="0.3">
      <c r="H96" s="140"/>
      <c r="Q96" s="140"/>
    </row>
    <row r="97" spans="8:17" x14ac:dyDescent="0.3">
      <c r="H97" s="140"/>
      <c r="Q97" s="140"/>
    </row>
    <row r="98" spans="8:17" x14ac:dyDescent="0.3">
      <c r="H98" s="140"/>
      <c r="Q98" s="140"/>
    </row>
    <row r="99" spans="8:17" x14ac:dyDescent="0.3">
      <c r="H99" s="140"/>
      <c r="Q99" s="140"/>
    </row>
    <row r="100" spans="8:17" x14ac:dyDescent="0.3">
      <c r="H100" s="140"/>
      <c r="Q100" s="140"/>
    </row>
    <row r="101" spans="8:17" x14ac:dyDescent="0.3">
      <c r="H101" s="140"/>
      <c r="Q101" s="140"/>
    </row>
    <row r="121" spans="8:17" x14ac:dyDescent="0.3">
      <c r="H121" s="140"/>
      <c r="Q121" s="140"/>
    </row>
    <row r="124" spans="8:17" x14ac:dyDescent="0.3">
      <c r="H124" s="140"/>
      <c r="Q124" s="140"/>
    </row>
    <row r="126" spans="8:17" x14ac:dyDescent="0.3">
      <c r="H126" s="140"/>
      <c r="Q126" s="140"/>
    </row>
    <row r="128" spans="8:17" x14ac:dyDescent="0.3">
      <c r="H128" s="140"/>
      <c r="Q128" s="140"/>
    </row>
    <row r="130" spans="8:17" x14ac:dyDescent="0.3">
      <c r="H130" s="140"/>
      <c r="Q130" s="140"/>
    </row>
    <row r="132" spans="8:17" x14ac:dyDescent="0.3">
      <c r="H132" s="140"/>
      <c r="Q132" s="140"/>
    </row>
    <row r="134" spans="8:17" x14ac:dyDescent="0.3">
      <c r="H134" s="140"/>
      <c r="Q134" s="140"/>
    </row>
    <row r="136" spans="8:17" x14ac:dyDescent="0.3">
      <c r="H136" s="140"/>
      <c r="Q136" s="140"/>
    </row>
    <row r="138" spans="8:17" x14ac:dyDescent="0.3">
      <c r="H138" s="140"/>
      <c r="Q138" s="140"/>
    </row>
    <row r="140" spans="8:17" x14ac:dyDescent="0.3">
      <c r="H140" s="140"/>
      <c r="Q140" s="140"/>
    </row>
    <row r="141" spans="8:17" x14ac:dyDescent="0.3">
      <c r="Q141" s="140"/>
    </row>
    <row r="142" spans="8:17" x14ac:dyDescent="0.3">
      <c r="H142" s="140"/>
      <c r="Q142" s="140"/>
    </row>
    <row r="143" spans="8:17" x14ac:dyDescent="0.3">
      <c r="H143" s="140"/>
      <c r="Q143" s="140"/>
    </row>
    <row r="144" spans="8:17" x14ac:dyDescent="0.3">
      <c r="H144" s="140"/>
      <c r="Q144" s="140"/>
    </row>
    <row r="145" spans="8:17" x14ac:dyDescent="0.3">
      <c r="H145" s="140"/>
      <c r="Q145" s="140"/>
    </row>
    <row r="146" spans="8:17" x14ac:dyDescent="0.3">
      <c r="H146" s="140"/>
      <c r="Q146" s="140"/>
    </row>
    <row r="169" spans="8:17" x14ac:dyDescent="0.3">
      <c r="H169" s="140"/>
      <c r="Q169" s="140"/>
    </row>
    <row r="172" spans="8:17" x14ac:dyDescent="0.3">
      <c r="H172" s="140"/>
      <c r="Q172" s="140"/>
    </row>
    <row r="174" spans="8:17" x14ac:dyDescent="0.3">
      <c r="H174" s="140"/>
      <c r="Q174" s="140"/>
    </row>
    <row r="176" spans="8:17" x14ac:dyDescent="0.3">
      <c r="H176" s="140"/>
      <c r="Q176" s="140"/>
    </row>
    <row r="178" spans="8:17" x14ac:dyDescent="0.3">
      <c r="H178" s="140"/>
      <c r="Q178" s="140"/>
    </row>
    <row r="180" spans="8:17" x14ac:dyDescent="0.3">
      <c r="H180" s="140"/>
      <c r="Q180" s="140"/>
    </row>
    <row r="182" spans="8:17" x14ac:dyDescent="0.3">
      <c r="H182" s="140"/>
      <c r="Q182" s="140"/>
    </row>
    <row r="184" spans="8:17" x14ac:dyDescent="0.3">
      <c r="H184" s="140"/>
      <c r="Q184" s="140"/>
    </row>
    <row r="186" spans="8:17" x14ac:dyDescent="0.3">
      <c r="H186" s="140"/>
      <c r="Q186" s="140"/>
    </row>
    <row r="188" spans="8:17" x14ac:dyDescent="0.3">
      <c r="H188" s="140"/>
      <c r="Q188" s="140"/>
    </row>
    <row r="190" spans="8:17" x14ac:dyDescent="0.3">
      <c r="H190" s="140"/>
      <c r="Q190" s="140"/>
    </row>
    <row r="192" spans="8:17" x14ac:dyDescent="0.3">
      <c r="H192" s="140"/>
      <c r="Q192" s="140"/>
    </row>
    <row r="194" spans="8:17" x14ac:dyDescent="0.3">
      <c r="H194" s="140"/>
      <c r="Q194" s="140"/>
    </row>
    <row r="217" spans="8:17" x14ac:dyDescent="0.3">
      <c r="H217" s="140"/>
      <c r="Q217" s="140"/>
    </row>
    <row r="219" spans="8:17" x14ac:dyDescent="0.3">
      <c r="H219" s="140"/>
      <c r="Q219" s="140"/>
    </row>
    <row r="220" spans="8:17" x14ac:dyDescent="0.3">
      <c r="H220" s="140"/>
      <c r="Q220" s="140"/>
    </row>
    <row r="221" spans="8:17" x14ac:dyDescent="0.3">
      <c r="H221" s="140"/>
      <c r="Q221" s="140"/>
    </row>
    <row r="222" spans="8:17" x14ac:dyDescent="0.3">
      <c r="H222" s="140"/>
      <c r="Q222" s="140"/>
    </row>
    <row r="223" spans="8:17" x14ac:dyDescent="0.3">
      <c r="H223" s="140"/>
      <c r="Q223" s="140"/>
    </row>
    <row r="224" spans="8:17" x14ac:dyDescent="0.3">
      <c r="H224" s="140"/>
      <c r="Q224" s="140"/>
    </row>
    <row r="225" spans="8:17" x14ac:dyDescent="0.3">
      <c r="H225" s="140"/>
      <c r="Q225" s="140"/>
    </row>
    <row r="226" spans="8:17" x14ac:dyDescent="0.3">
      <c r="H226" s="140"/>
      <c r="Q226" s="140"/>
    </row>
    <row r="227" spans="8:17" x14ac:dyDescent="0.3">
      <c r="H227" s="140"/>
      <c r="Q227" s="140"/>
    </row>
    <row r="228" spans="8:17" x14ac:dyDescent="0.3">
      <c r="H228" s="140"/>
      <c r="Q228" s="140"/>
    </row>
    <row r="229" spans="8:17" x14ac:dyDescent="0.3">
      <c r="H229" s="140"/>
      <c r="Q229" s="140"/>
    </row>
    <row r="230" spans="8:17" x14ac:dyDescent="0.3">
      <c r="H230" s="140"/>
      <c r="Q230" s="140"/>
    </row>
    <row r="231" spans="8:17" x14ac:dyDescent="0.3">
      <c r="H231" s="140"/>
      <c r="Q231" s="140"/>
    </row>
    <row r="232" spans="8:17" x14ac:dyDescent="0.3">
      <c r="H232" s="140"/>
      <c r="Q232" s="140"/>
    </row>
    <row r="233" spans="8:17" x14ac:dyDescent="0.3">
      <c r="H233" s="140"/>
      <c r="Q233" s="140"/>
    </row>
    <row r="234" spans="8:17" x14ac:dyDescent="0.3">
      <c r="H234" s="140"/>
      <c r="Q234" s="140"/>
    </row>
    <row r="235" spans="8:17" x14ac:dyDescent="0.3">
      <c r="H235" s="140"/>
      <c r="Q235" s="140"/>
    </row>
    <row r="236" spans="8:17" x14ac:dyDescent="0.3">
      <c r="H236" s="140"/>
      <c r="Q236" s="140"/>
    </row>
    <row r="237" spans="8:17" x14ac:dyDescent="0.3">
      <c r="H237" s="140"/>
      <c r="Q237" s="140"/>
    </row>
    <row r="238" spans="8:17" x14ac:dyDescent="0.3">
      <c r="H238" s="140"/>
      <c r="Q238" s="140"/>
    </row>
    <row r="239" spans="8:17" x14ac:dyDescent="0.3">
      <c r="H239" s="140"/>
      <c r="Q239" s="140"/>
    </row>
    <row r="240" spans="8:17" x14ac:dyDescent="0.3">
      <c r="H240" s="140"/>
      <c r="Q240" s="140"/>
    </row>
    <row r="241" spans="8:17" x14ac:dyDescent="0.3">
      <c r="H241" s="140"/>
      <c r="Q241" s="140"/>
    </row>
    <row r="242" spans="8:17" x14ac:dyDescent="0.3">
      <c r="H242" s="140"/>
      <c r="Q242" s="140"/>
    </row>
    <row r="265" spans="8:17" x14ac:dyDescent="0.3">
      <c r="H265" s="140"/>
      <c r="Q265" s="140"/>
    </row>
    <row r="268" spans="8:17" x14ac:dyDescent="0.3">
      <c r="H268" s="140"/>
      <c r="Q268" s="140"/>
    </row>
    <row r="270" spans="8:17" x14ac:dyDescent="0.3">
      <c r="H270" s="140"/>
      <c r="Q270" s="140"/>
    </row>
    <row r="271" spans="8:17" x14ac:dyDescent="0.3">
      <c r="H271" s="140"/>
    </row>
    <row r="272" spans="8:17" x14ac:dyDescent="0.3">
      <c r="H272" s="140"/>
      <c r="Q272" s="140"/>
    </row>
    <row r="274" spans="8:17" x14ac:dyDescent="0.3">
      <c r="H274" s="140"/>
      <c r="Q274" s="140"/>
    </row>
    <row r="276" spans="8:17" x14ac:dyDescent="0.3">
      <c r="H276" s="140"/>
      <c r="Q276" s="140"/>
    </row>
    <row r="278" spans="8:17" x14ac:dyDescent="0.3">
      <c r="H278" s="140"/>
      <c r="Q278" s="140"/>
    </row>
    <row r="280" spans="8:17" x14ac:dyDescent="0.3">
      <c r="H280" s="140"/>
      <c r="Q280" s="140"/>
    </row>
    <row r="282" spans="8:17" x14ac:dyDescent="0.3">
      <c r="H282" s="140"/>
      <c r="Q282" s="140"/>
    </row>
    <row r="284" spans="8:17" x14ac:dyDescent="0.3">
      <c r="H284" s="140"/>
      <c r="Q284" s="140"/>
    </row>
    <row r="285" spans="8:17" x14ac:dyDescent="0.3">
      <c r="H285" s="140"/>
      <c r="Q285" s="140"/>
    </row>
    <row r="286" spans="8:17" x14ac:dyDescent="0.3">
      <c r="H286" s="140"/>
      <c r="Q286" s="140"/>
    </row>
    <row r="287" spans="8:17" x14ac:dyDescent="0.3">
      <c r="H287" s="140"/>
      <c r="Q287" s="140"/>
    </row>
    <row r="288" spans="8:17" x14ac:dyDescent="0.3">
      <c r="H288" s="140"/>
      <c r="Q288" s="140"/>
    </row>
    <row r="289" spans="8:17" x14ac:dyDescent="0.3">
      <c r="H289" s="140"/>
      <c r="Q289" s="140"/>
    </row>
    <row r="290" spans="8:17" x14ac:dyDescent="0.3">
      <c r="H290" s="140"/>
      <c r="Q290" s="140"/>
    </row>
    <row r="292" spans="8:17" x14ac:dyDescent="0.3">
      <c r="H292" s="140"/>
    </row>
    <row r="311" spans="8:17" x14ac:dyDescent="0.3">
      <c r="H311" s="140"/>
      <c r="Q311" s="140"/>
    </row>
    <row r="314" spans="8:17" x14ac:dyDescent="0.3">
      <c r="H314" s="140"/>
      <c r="Q314" s="140"/>
    </row>
    <row r="316" spans="8:17" x14ac:dyDescent="0.3">
      <c r="H316" s="140"/>
      <c r="Q316" s="140"/>
    </row>
    <row r="318" spans="8:17" x14ac:dyDescent="0.3">
      <c r="H318" s="140"/>
      <c r="Q318" s="140"/>
    </row>
    <row r="320" spans="8:17" x14ac:dyDescent="0.3">
      <c r="H320" s="140"/>
      <c r="Q320" s="140"/>
    </row>
    <row r="322" spans="8:17" x14ac:dyDescent="0.3">
      <c r="H322" s="140"/>
      <c r="Q322" s="140"/>
    </row>
    <row r="324" spans="8:17" x14ac:dyDescent="0.3">
      <c r="H324" s="140"/>
      <c r="Q324" s="140"/>
    </row>
    <row r="326" spans="8:17" x14ac:dyDescent="0.3">
      <c r="H326" s="140"/>
      <c r="Q326" s="140"/>
    </row>
    <row r="328" spans="8:17" x14ac:dyDescent="0.3">
      <c r="H328" s="140"/>
      <c r="Q328" s="140"/>
    </row>
    <row r="330" spans="8:17" x14ac:dyDescent="0.3">
      <c r="H330" s="140"/>
      <c r="Q330" s="140"/>
    </row>
    <row r="332" spans="8:17" x14ac:dyDescent="0.3">
      <c r="H332" s="140"/>
      <c r="Q332" s="140"/>
    </row>
    <row r="334" spans="8:17" x14ac:dyDescent="0.3">
      <c r="H334" s="140"/>
      <c r="Q334" s="140"/>
    </row>
    <row r="336" spans="8:17" x14ac:dyDescent="0.3">
      <c r="H336" s="140"/>
      <c r="Q336" s="140"/>
    </row>
    <row r="362" spans="8:17" x14ac:dyDescent="0.3">
      <c r="Q362" s="140"/>
    </row>
    <row r="364" spans="8:17" x14ac:dyDescent="0.3">
      <c r="H364" s="140"/>
      <c r="Q364" s="140"/>
    </row>
    <row r="366" spans="8:17" x14ac:dyDescent="0.3">
      <c r="H366" s="140"/>
    </row>
    <row r="368" spans="8:17" x14ac:dyDescent="0.3">
      <c r="H368" s="140"/>
      <c r="Q368" s="140"/>
    </row>
    <row r="396" spans="8:17" x14ac:dyDescent="0.3">
      <c r="H396" s="140"/>
    </row>
    <row r="398" spans="8:17" x14ac:dyDescent="0.3">
      <c r="Q398" s="140"/>
    </row>
    <row r="399" spans="8:17" x14ac:dyDescent="0.3">
      <c r="Q399" s="140"/>
    </row>
    <row r="400" spans="8:17" x14ac:dyDescent="0.3">
      <c r="Q400" s="140"/>
    </row>
    <row r="401" spans="8:17" x14ac:dyDescent="0.3">
      <c r="Q401" s="140"/>
    </row>
    <row r="402" spans="8:17" x14ac:dyDescent="0.3">
      <c r="H402" s="140"/>
      <c r="Q402" s="140"/>
    </row>
    <row r="404" spans="8:17" x14ac:dyDescent="0.3">
      <c r="H404" s="140"/>
      <c r="Q404" s="140"/>
    </row>
    <row r="407" spans="8:17" x14ac:dyDescent="0.3">
      <c r="Q407" s="140"/>
    </row>
    <row r="431" spans="8:17" x14ac:dyDescent="0.3">
      <c r="Q431" s="140"/>
    </row>
    <row r="432" spans="8:17" x14ac:dyDescent="0.3">
      <c r="H432" s="140"/>
      <c r="Q432" s="140"/>
    </row>
    <row r="433" spans="8:17" x14ac:dyDescent="0.3">
      <c r="H433" s="140"/>
      <c r="Q433" s="140"/>
    </row>
    <row r="434" spans="8:17" x14ac:dyDescent="0.3">
      <c r="H434" s="140"/>
      <c r="Q434" s="140"/>
    </row>
    <row r="435" spans="8:17" x14ac:dyDescent="0.3">
      <c r="H435" s="140"/>
      <c r="Q435" s="140"/>
    </row>
    <row r="436" spans="8:17" x14ac:dyDescent="0.3">
      <c r="H436" s="140"/>
      <c r="Q436" s="140"/>
    </row>
    <row r="437" spans="8:17" x14ac:dyDescent="0.3">
      <c r="H437" s="140"/>
      <c r="Q437" s="140"/>
    </row>
    <row r="439" spans="8:17" x14ac:dyDescent="0.3">
      <c r="H439" s="140"/>
      <c r="Q439" s="140"/>
    </row>
    <row r="493" spans="13:13" x14ac:dyDescent="0.3">
      <c r="M493" s="141"/>
    </row>
    <row r="494" spans="13:13" x14ac:dyDescent="0.3">
      <c r="M494" s="1" t="s">
        <v>39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2024-10-16T09:20:16Z</dcterms:created>
  <dcterms:modified xsi:type="dcterms:W3CDTF">2025-01-16T09:29:30Z</dcterms:modified>
</cp:coreProperties>
</file>