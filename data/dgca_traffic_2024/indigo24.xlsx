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9630" windowHeight="5070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H73" i="2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<sst xmlns="http://schemas.openxmlformats.org/spreadsheetml/2006/main" count="153" uniqueCount="42">
  <si>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</si>
  <si>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INDIGO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</si>
  <si>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</si>
  <si>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</si>
  <si>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</si>
  <si>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</si>
  <si>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</si>
  <si>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</si>
  <si>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</si>
  <si>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</si>
  <si>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</si>
  <si>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</si>
  <si>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</si>
  <si>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</si>
  <si>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</si>
  <si>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</si>
  <si>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</si>
  <si>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</si>
  <si>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</si>
  <si>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</si>
  <si>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</si>
  <si>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</si>
  <si>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</si>
  <si>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</si>
  <si>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</si>
  <si>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</si>
  <si>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</si>
  <si>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</si>
  <si>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</si>
  <si>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</si>
  <si>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</si>
  <si>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</si>
  <si>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</si>
  <si>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</si>
  <si>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</si>
  <si>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INDIGO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</si>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</sst>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9" transitionEvaluation="1" transitionEntry="1" codeName="Sheet12"/>
  <dimension ref="A1:Q494"/>
  <sheetViews>
    <sheetView showGridLines="0" tabSelected="1" view="pageBreakPreview" topLeftCell="A49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50923</v>
      </c>
      <c r="C4" s="12">
        <v>88813.016666666663</v>
      </c>
      <c r="D4" s="13">
        <v>43776.94</v>
      </c>
      <c r="E4" s="14">
        <v>7908647</v>
      </c>
      <c r="F4" s="12">
        <v>7362463</v>
      </c>
      <c r="G4" s="12">
        <v>8333257</v>
      </c>
      <c r="H4" s="15">
        <f>IFERROR(F4/G4*100," ")</f>
        <v>88.350365289346058</v>
      </c>
      <c r="I4" s="16">
        <v>22149.241999999998</v>
      </c>
      <c r="J4" s="17">
        <v>2515.1370000000002</v>
      </c>
      <c r="K4" s="15">
        <f>IF(AND(ISBLANK(I4),ISBLANK(J4))=TRUE,"",I4+J4)</f>
        <v>24664.378999999997</v>
      </c>
      <c r="L4" s="16">
        <v>670438.81599999999</v>
      </c>
      <c r="M4" s="17">
        <v>31950.106</v>
      </c>
      <c r="N4" s="17">
        <v>2761.8969999999999</v>
      </c>
      <c r="O4" s="15">
        <f>IF(AND(ISBLANK(L4),ISBLANK(M4),ISBLANK(N4))=TRUE,"",L4+M4+N4)</f>
        <v>705150.81900000002</v>
      </c>
      <c r="P4" s="17">
        <v>933735.13300000003</v>
      </c>
      <c r="Q4" s="15">
        <f>IFERROR(O4/P4*100," ")</f>
        <v>75.519362405741248</v>
      </c>
    </row>
    <row r="5" spans="1:17" ht="23.1" customHeight="1" x14ac:dyDescent="0.3">
      <c r="A5" s="18" t="s">
        <v>23</v>
      </c>
      <c r="B5" s="19">
        <v>50244</v>
      </c>
      <c r="C5" s="19">
        <v>87251.3</v>
      </c>
      <c r="D5" s="18">
        <v>42851.375</v>
      </c>
      <c r="E5" s="20">
        <v>7602018</v>
      </c>
      <c r="F5" s="19">
        <v>7143171</v>
      </c>
      <c r="G5" s="19">
        <v>8111327</v>
      </c>
      <c r="H5" s="21">
        <f t="shared" ref="H5:H16" si="0">IFERROR(F5/G5*100," ")</f>
        <v>88.064147826859895</v>
      </c>
      <c r="I5" s="22">
        <v>22300.434000000001</v>
      </c>
      <c r="J5" s="23">
        <v>2731.5459999999998</v>
      </c>
      <c r="K5" s="21">
        <f t="shared" ref="K5:K16" si="1">IF(AND(ISBLANK(I5),ISBLANK(J5))=TRUE,"",I5+J5)</f>
        <v>25031.98</v>
      </c>
      <c r="L5" s="22">
        <v>642859.40899999999</v>
      </c>
      <c r="M5" s="23">
        <v>29952.182000000001</v>
      </c>
      <c r="N5" s="23">
        <v>2835.3389999999999</v>
      </c>
      <c r="O5" s="21">
        <f t="shared" ref="O5:O16" si="2">IF(AND(ISBLANK(L5),ISBLANK(M5),ISBLANK(N5))=TRUE,"",L5+M5+N5)</f>
        <v>675646.93</v>
      </c>
      <c r="P5" s="23">
        <v>908820.09699999995</v>
      </c>
      <c r="Q5" s="21">
        <f t="shared" ref="Q5:Q16" si="3">IFERROR(O5/P5*100," ")</f>
        <v>74.343308673553693</v>
      </c>
    </row>
    <row r="6" spans="1:17" ht="23.1" customHeight="1" x14ac:dyDescent="0.3">
      <c r="A6" s="24" t="s">
        <v>24</v>
      </c>
      <c r="B6" s="25">
        <v>55119</v>
      </c>
      <c r="C6" s="25">
        <v>95459.9</v>
      </c>
      <c r="D6" s="24">
        <v>47139.535000000003</v>
      </c>
      <c r="E6" s="26">
        <v>8085844</v>
      </c>
      <c r="F6" s="25">
        <v>7615079</v>
      </c>
      <c r="G6" s="25">
        <v>8965879</v>
      </c>
      <c r="H6" s="27">
        <f t="shared" si="0"/>
        <v>84.933992528786078</v>
      </c>
      <c r="I6" s="28">
        <v>23970.92</v>
      </c>
      <c r="J6" s="29">
        <v>2490.4290000000001</v>
      </c>
      <c r="K6" s="27">
        <f t="shared" si="1"/>
        <v>26461.348999999998</v>
      </c>
      <c r="L6" s="28">
        <v>685300.37329999998</v>
      </c>
      <c r="M6" s="29">
        <v>32531.223000000002</v>
      </c>
      <c r="N6" s="29">
        <v>2626.3319999999999</v>
      </c>
      <c r="O6" s="27">
        <f t="shared" si="2"/>
        <v>720457.92830000003</v>
      </c>
      <c r="P6" s="29">
        <v>1005433.603</v>
      </c>
      <c r="Q6" s="27">
        <f t="shared" si="3"/>
        <v>71.656440181659619</v>
      </c>
    </row>
    <row r="7" spans="1:17" ht="23.1" customHeight="1" x14ac:dyDescent="0.3">
      <c r="A7" s="18" t="s">
        <v>25</v>
      </c>
      <c r="B7" s="19">
        <v>53477</v>
      </c>
      <c r="C7" s="19">
        <v>93324.3</v>
      </c>
      <c r="D7" s="18">
        <v>45934.226999999999</v>
      </c>
      <c r="E7" s="20">
        <v>7999788</v>
      </c>
      <c r="F7" s="19">
        <v>7541735</v>
      </c>
      <c r="G7" s="19">
        <v>8711380</v>
      </c>
      <c r="H7" s="21">
        <f t="shared" si="0"/>
        <v>86.573367250653746</v>
      </c>
      <c r="I7" s="22">
        <v>21569.786</v>
      </c>
      <c r="J7" s="23">
        <v>2266.5990000000002</v>
      </c>
      <c r="K7" s="21">
        <f t="shared" si="1"/>
        <v>23836.385000000002</v>
      </c>
      <c r="L7" s="22">
        <v>678637.96400000004</v>
      </c>
      <c r="M7" s="23">
        <v>30557.7</v>
      </c>
      <c r="N7" s="23">
        <v>2381.424</v>
      </c>
      <c r="O7" s="21">
        <f t="shared" si="2"/>
        <v>711577.08799999999</v>
      </c>
      <c r="P7" s="23">
        <v>976320.09199999995</v>
      </c>
      <c r="Q7" s="21">
        <f t="shared" si="3"/>
        <v>72.883585396908941</v>
      </c>
    </row>
    <row r="8" spans="1:17" s="30" customFormat="1" ht="30" customHeight="1" x14ac:dyDescent="0.25">
      <c r="A8" s="24" t="s">
        <v>26</v>
      </c>
      <c r="B8" s="25">
        <v>55381</v>
      </c>
      <c r="C8" s="25">
        <v>96682.833333333328</v>
      </c>
      <c r="D8" s="24">
        <v>47429.321000000004</v>
      </c>
      <c r="E8" s="26">
        <v>8504042</v>
      </c>
      <c r="F8" s="25">
        <v>7947119</v>
      </c>
      <c r="G8" s="25">
        <v>8986414</v>
      </c>
      <c r="H8" s="27">
        <f t="shared" si="0"/>
        <v>88.434819495295898</v>
      </c>
      <c r="I8" s="28">
        <v>26545.087</v>
      </c>
      <c r="J8" s="29">
        <v>2257.8120000000004</v>
      </c>
      <c r="K8" s="27">
        <f t="shared" si="1"/>
        <v>28802.899000000001</v>
      </c>
      <c r="L8" s="28">
        <v>715131.32</v>
      </c>
      <c r="M8" s="29">
        <v>30987.001</v>
      </c>
      <c r="N8" s="29">
        <v>2021.5050000000001</v>
      </c>
      <c r="O8" s="27">
        <f t="shared" si="2"/>
        <v>748139.826</v>
      </c>
      <c r="P8" s="29">
        <v>1006658.067</v>
      </c>
      <c r="Q8" s="27">
        <f t="shared" si="3"/>
        <v>74.319160649015089</v>
      </c>
    </row>
    <row r="9" spans="1:17" ht="23.1" customHeight="1" x14ac:dyDescent="0.3">
      <c r="A9" s="18" t="s">
        <v>27</v>
      </c>
      <c r="B9" s="19">
        <v>53313</v>
      </c>
      <c r="C9" s="19">
        <v>93256.366666666669</v>
      </c>
      <c r="D9" s="18">
        <v>45557.082000000002</v>
      </c>
      <c r="E9" s="20">
        <v>8029628</v>
      </c>
      <c r="F9" s="19">
        <v>7511825</v>
      </c>
      <c r="G9" s="19">
        <v>8635615</v>
      </c>
      <c r="H9" s="21">
        <f t="shared" si="0"/>
        <v>86.986566677648327</v>
      </c>
      <c r="I9" s="22">
        <v>25078.100999999999</v>
      </c>
      <c r="J9" s="23">
        <v>2368.9299999999998</v>
      </c>
      <c r="K9" s="21">
        <f t="shared" si="1"/>
        <v>27447.030999999999</v>
      </c>
      <c r="L9" s="22">
        <v>676035.17200000002</v>
      </c>
      <c r="M9" s="23">
        <v>29542.84</v>
      </c>
      <c r="N9" s="23">
        <v>2048.58</v>
      </c>
      <c r="O9" s="21">
        <f t="shared" si="2"/>
        <v>707626.59199999995</v>
      </c>
      <c r="P9" s="23">
        <v>966835.41599999997</v>
      </c>
      <c r="Q9" s="21">
        <f t="shared" si="3"/>
        <v>73.189974248936693</v>
      </c>
    </row>
    <row r="10" spans="1:17" ht="23.1" customHeight="1" x14ac:dyDescent="0.3">
      <c r="A10" s="24" t="s">
        <v>28</v>
      </c>
      <c r="B10" s="25">
        <v>54709</v>
      </c>
      <c r="C10" s="25">
        <v>96704.45</v>
      </c>
      <c r="D10" s="24">
        <v>46677.362999999998</v>
      </c>
      <c r="E10" s="26">
        <v>8046505</v>
      </c>
      <c r="F10" s="25">
        <v>7528951</v>
      </c>
      <c r="G10" s="25">
        <v>8898194</v>
      </c>
      <c r="H10" s="27">
        <f t="shared" si="0"/>
        <v>84.612124662600081</v>
      </c>
      <c r="I10" s="28">
        <v>24243.294999999998</v>
      </c>
      <c r="J10" s="29">
        <v>2576.4949999999999</v>
      </c>
      <c r="K10" s="27">
        <f t="shared" si="1"/>
        <v>26819.789999999997</v>
      </c>
      <c r="L10" s="28">
        <v>677496.08100000001</v>
      </c>
      <c r="M10" s="29">
        <v>28436.862000000001</v>
      </c>
      <c r="N10" s="29">
        <v>2234.5880000000002</v>
      </c>
      <c r="O10" s="27">
        <f t="shared" si="2"/>
        <v>708167.53099999996</v>
      </c>
      <c r="P10" s="29">
        <v>997471.96699999995</v>
      </c>
      <c r="Q10" s="27">
        <f t="shared" si="3"/>
        <v>70.996233922231127</v>
      </c>
    </row>
    <row r="11" spans="1:17" ht="23.1" customHeight="1" x14ac:dyDescent="0.3">
      <c r="A11" s="18" t="s">
        <v>29</v>
      </c>
      <c r="B11" s="19">
        <v>56433</v>
      </c>
      <c r="C11" s="19">
        <v>99527.616666666669</v>
      </c>
      <c r="D11" s="18">
        <v>48236.563999999998</v>
      </c>
      <c r="E11" s="20">
        <v>8190413</v>
      </c>
      <c r="F11" s="19">
        <v>7599936</v>
      </c>
      <c r="G11" s="19">
        <v>9231126</v>
      </c>
      <c r="H11" s="21">
        <f t="shared" si="0"/>
        <v>82.329457966449596</v>
      </c>
      <c r="I11" s="22">
        <v>24003.780999999999</v>
      </c>
      <c r="J11" s="23">
        <v>2545.395</v>
      </c>
      <c r="K11" s="21">
        <f t="shared" si="1"/>
        <v>26549.175999999999</v>
      </c>
      <c r="L11" s="22">
        <v>683875.76899999997</v>
      </c>
      <c r="M11" s="23">
        <v>27994.072</v>
      </c>
      <c r="N11" s="23">
        <v>2272.4</v>
      </c>
      <c r="O11" s="21">
        <f t="shared" si="2"/>
        <v>714142.24100000004</v>
      </c>
      <c r="P11" s="23">
        <v>1035542.591</v>
      </c>
      <c r="Q11" s="21">
        <f t="shared" si="3"/>
        <v>68.963096950978041</v>
      </c>
    </row>
    <row r="12" spans="1:17" ht="23.1" customHeight="1" x14ac:dyDescent="0.3">
      <c r="A12" s="24" t="s">
        <v>30</v>
      </c>
      <c r="B12" s="25">
        <v>56012</v>
      </c>
      <c r="C12" s="25">
        <v>98623.78333333334</v>
      </c>
      <c r="D12" s="24">
        <v>48029.135999999999</v>
      </c>
      <c r="E12" s="26">
        <v>8211792</v>
      </c>
      <c r="F12" s="25">
        <v>7624336</v>
      </c>
      <c r="G12" s="25">
        <v>9230396</v>
      </c>
      <c r="H12" s="27">
        <f t="shared" si="0"/>
        <v>82.600313139327923</v>
      </c>
      <c r="I12" s="28">
        <v>25081.387999999999</v>
      </c>
      <c r="J12" s="29">
        <v>2291.0990000000002</v>
      </c>
      <c r="K12" s="27">
        <f t="shared" si="1"/>
        <v>27372.487000000001</v>
      </c>
      <c r="L12" s="28">
        <v>686101.69799999997</v>
      </c>
      <c r="M12" s="29">
        <v>29478.379000000001</v>
      </c>
      <c r="N12" s="29">
        <v>2045.145</v>
      </c>
      <c r="O12" s="27">
        <f t="shared" si="2"/>
        <v>717625.22199999995</v>
      </c>
      <c r="P12" s="29">
        <v>1037000.76</v>
      </c>
      <c r="Q12" s="27">
        <f t="shared" si="3"/>
        <v>69.201995763243218</v>
      </c>
    </row>
    <row r="13" spans="1:17" ht="23.1" customHeight="1" x14ac:dyDescent="0.3">
      <c r="A13" s="18" t="s">
        <v>31</v>
      </c>
      <c r="B13" s="19">
        <v>59156</v>
      </c>
      <c r="C13" s="19">
        <v>104385.11666666667</v>
      </c>
      <c r="D13" s="18">
        <v>51433.855000000003</v>
      </c>
      <c r="E13" s="20">
        <v>8640128</v>
      </c>
      <c r="F13" s="19">
        <v>8129253</v>
      </c>
      <c r="G13" s="19">
        <v>9882735</v>
      </c>
      <c r="H13" s="21">
        <f t="shared" si="0"/>
        <v>82.257118095345064</v>
      </c>
      <c r="I13" s="22">
        <v>27144.253000000001</v>
      </c>
      <c r="J13" s="23">
        <v>2521.75</v>
      </c>
      <c r="K13" s="21">
        <f t="shared" si="1"/>
        <v>29666.003000000001</v>
      </c>
      <c r="L13" s="22">
        <v>731588.22</v>
      </c>
      <c r="M13" s="23">
        <v>31521.794999999998</v>
      </c>
      <c r="N13" s="23">
        <v>2247.2130000000002</v>
      </c>
      <c r="O13" s="21">
        <f t="shared" si="2"/>
        <v>765357.228</v>
      </c>
      <c r="P13" s="23">
        <v>1108165.8689999999</v>
      </c>
      <c r="Q13" s="21">
        <f t="shared" si="3"/>
        <v>69.065222942721775</v>
      </c>
    </row>
    <row r="14" spans="1:17" ht="23.1" customHeight="1" x14ac:dyDescent="0.3">
      <c r="A14" s="24" t="s">
        <v>32</v>
      </c>
      <c r="B14" s="25">
        <v>56776</v>
      </c>
      <c r="C14" s="25">
        <v>100409.43333333333</v>
      </c>
      <c r="D14" s="24">
        <v>49404.14</v>
      </c>
      <c r="E14" s="26">
        <v>9069728</v>
      </c>
      <c r="F14" s="25">
        <v>8592770</v>
      </c>
      <c r="G14" s="25">
        <v>9512296</v>
      </c>
      <c r="H14" s="27">
        <f t="shared" si="0"/>
        <v>90.333290721819424</v>
      </c>
      <c r="I14" s="28">
        <v>23310.498</v>
      </c>
      <c r="J14" s="29">
        <v>2476.1770000000001</v>
      </c>
      <c r="K14" s="27">
        <f t="shared" si="1"/>
        <v>25786.674999999999</v>
      </c>
      <c r="L14" s="28">
        <v>773264.84499999997</v>
      </c>
      <c r="M14" s="29">
        <v>27349.333999999999</v>
      </c>
      <c r="N14" s="29">
        <v>2196.0509999999999</v>
      </c>
      <c r="O14" s="27">
        <f t="shared" si="2"/>
        <v>802810.23</v>
      </c>
      <c r="P14" s="29">
        <v>1066511.9450000001</v>
      </c>
      <c r="Q14" s="27">
        <f t="shared" si="3"/>
        <v>75.274377728605742</v>
      </c>
    </row>
    <row r="15" spans="1:17" ht="23.1" customHeight="1" x14ac:dyDescent="0.3">
      <c r="A15" s="31" t="s">
        <v>33</v>
      </c>
      <c r="B15" s="32">
        <v>59546</v>
      </c>
      <c r="C15" s="32">
        <v>105584.6</v>
      </c>
      <c r="D15" s="33">
        <v>51989.093999999997</v>
      </c>
      <c r="E15" s="34">
        <v>9615322</v>
      </c>
      <c r="F15" s="32">
        <v>9113052</v>
      </c>
      <c r="G15" s="32">
        <v>10053140</v>
      </c>
      <c r="H15" s="35">
        <f t="shared" si="0"/>
        <v>90.64881221190592</v>
      </c>
      <c r="I15" s="36">
        <v>25159.670999999998</v>
      </c>
      <c r="J15" s="37">
        <v>2975.2530000000002</v>
      </c>
      <c r="K15" s="35">
        <f t="shared" si="1"/>
        <v>28134.923999999999</v>
      </c>
      <c r="L15" s="36">
        <v>820089.53200000001</v>
      </c>
      <c r="M15" s="37">
        <v>29151.871999999999</v>
      </c>
      <c r="N15" s="37">
        <v>2619.951</v>
      </c>
      <c r="O15" s="35">
        <f t="shared" si="2"/>
        <v>851861.35499999998</v>
      </c>
      <c r="P15" s="23">
        <v>1116225.8370000001</v>
      </c>
      <c r="Q15" s="21">
        <f t="shared" si="3"/>
        <v>76.316219062755835</v>
      </c>
    </row>
    <row r="16" spans="1:17" ht="23.1" customHeight="1" x14ac:dyDescent="0.3">
      <c r="A16" s="38" t="s">
        <v>34</v>
      </c>
      <c r="B16" s="39">
        <f t="shared" ref="B16:G16" si="4">SUM(B4:B15)</f>
        <v>661089</v>
      </c>
      <c r="C16" s="39">
        <f t="shared" si="4"/>
        <v>1160022.7166666668</v>
      </c>
      <c r="D16" s="39">
        <f t="shared" si="4"/>
        <v>568458.63199999998</v>
      </c>
      <c r="E16" s="39">
        <f t="shared" si="4"/>
        <v>99903855</v>
      </c>
      <c r="F16" s="39">
        <f t="shared" si="4"/>
        <v>93709690</v>
      </c>
      <c r="G16" s="39">
        <f t="shared" si="4"/>
        <v>108551759</v>
      </c>
      <c r="H16" s="40">
        <f t="shared" si="0"/>
        <v>86.32719622719334</v>
      </c>
      <c r="I16" s="40">
        <f>SUM(I4:I15)</f>
        <v>290556.45599999995</v>
      </c>
      <c r="J16" s="40">
        <f>SUM(J4:J15)</f>
        <v>30016.622000000003</v>
      </c>
      <c r="K16" s="40">
        <f t="shared" si="1"/>
        <v>320573.07799999998</v>
      </c>
      <c r="L16" s="40">
        <f>SUM(L4:L15)</f>
        <v>8440819.1993000004</v>
      </c>
      <c r="M16" s="40">
        <f>SUM(M4:M15)</f>
        <v>359453.36599999992</v>
      </c>
      <c r="N16" s="40">
        <f>SUM(N4:N15)</f>
        <v>28290.425000000003</v>
      </c>
      <c r="O16" s="40">
        <f t="shared" si="2"/>
        <v>8828562.9903000016</v>
      </c>
      <c r="P16" s="41">
        <f>SUM(P4:P15)</f>
        <v>12158721.376999998</v>
      </c>
      <c r="Q16" s="41">
        <f t="shared" si="3"/>
        <v>72.610949100293738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5963</v>
      </c>
      <c r="C23" s="58">
        <v>23099.35</v>
      </c>
      <c r="D23" s="59">
        <v>15282.28</v>
      </c>
      <c r="E23" s="57">
        <v>1036470</v>
      </c>
      <c r="F23" s="58">
        <v>2729974</v>
      </c>
      <c r="G23" s="58">
        <v>3175568</v>
      </c>
      <c r="H23" s="60">
        <f t="shared" ref="H23:H35" si="5">IFERROR(F23/G23*100," ")</f>
        <v>85.968053589153186</v>
      </c>
      <c r="I23" s="61">
        <v>3355.893</v>
      </c>
      <c r="J23" s="61">
        <v>10.647</v>
      </c>
      <c r="K23" s="61">
        <f>IF(AND(ISBLANK(I23),ISBLANK(J23))=TRUE,"",I23+J23)</f>
        <v>3366.54</v>
      </c>
      <c r="L23" s="62">
        <v>245697.223</v>
      </c>
      <c r="M23" s="61">
        <v>10272.540999999999</v>
      </c>
      <c r="N23" s="61">
        <v>28.495999999999999</v>
      </c>
      <c r="O23" s="63">
        <f>IF(AND(ISBLANK(L23),ISBLANK(M23),ISBLANK(N23))=TRUE,"",L23+M23+N23)</f>
        <v>255998.26</v>
      </c>
      <c r="P23" s="62">
        <v>321777.864</v>
      </c>
      <c r="Q23" s="63">
        <f>IFERROR(O23/P23*100," ")</f>
        <v>79.557448985987435</v>
      </c>
    </row>
    <row r="24" spans="1:17" ht="23.1" customHeight="1" x14ac:dyDescent="0.3">
      <c r="A24" s="64" t="s">
        <v>23</v>
      </c>
      <c r="B24" s="65">
        <v>5618</v>
      </c>
      <c r="C24" s="64">
        <v>21960.083333333332</v>
      </c>
      <c r="D24" s="66">
        <v>14307.147999999999</v>
      </c>
      <c r="E24" s="65">
        <v>966048</v>
      </c>
      <c r="F24" s="64">
        <v>2507610</v>
      </c>
      <c r="G24" s="64">
        <v>2942024</v>
      </c>
      <c r="H24" s="67">
        <f t="shared" si="5"/>
        <v>85.234178919002701</v>
      </c>
      <c r="I24" s="68">
        <v>3435.09</v>
      </c>
      <c r="J24" s="68">
        <v>9.9719999999999995</v>
      </c>
      <c r="K24" s="68">
        <f t="shared" ref="K24:K35" si="6">IF(AND(ISBLANK(I24),ISBLANK(J24))=TRUE,"",I24+J24)</f>
        <v>3445.0620000000004</v>
      </c>
      <c r="L24" s="69">
        <v>225684.587</v>
      </c>
      <c r="M24" s="68">
        <v>9899.1260000000002</v>
      </c>
      <c r="N24" s="68">
        <v>25.257000000000001</v>
      </c>
      <c r="O24" s="67">
        <f t="shared" ref="O24:O35" si="7">IF(AND(ISBLANK(L24),ISBLANK(M24),ISBLANK(N24))=TRUE,"",L24+M24+N24)</f>
        <v>235608.97</v>
      </c>
      <c r="P24" s="69">
        <v>302059.087</v>
      </c>
      <c r="Q24" s="67">
        <f t="shared" ref="Q24:Q35" si="8">IFERROR(O24/P24*100," ")</f>
        <v>78.000954164308922</v>
      </c>
    </row>
    <row r="25" spans="1:17" ht="23.1" customHeight="1" x14ac:dyDescent="0.3">
      <c r="A25" s="56" t="s">
        <v>24</v>
      </c>
      <c r="B25" s="70">
        <v>6216</v>
      </c>
      <c r="C25" s="56">
        <v>23874.283333333333</v>
      </c>
      <c r="D25" s="71">
        <v>15849.023999999999</v>
      </c>
      <c r="E25" s="70">
        <v>1011857</v>
      </c>
      <c r="F25" s="56">
        <v>2636089</v>
      </c>
      <c r="G25" s="56">
        <v>3224942</v>
      </c>
      <c r="H25" s="60">
        <f t="shared" si="5"/>
        <v>81.740663863102043</v>
      </c>
      <c r="I25" s="72">
        <v>4163.2460000000001</v>
      </c>
      <c r="J25" s="72">
        <v>8.4459999999999997</v>
      </c>
      <c r="K25" s="72">
        <f t="shared" si="6"/>
        <v>4171.692</v>
      </c>
      <c r="L25" s="73">
        <v>237249.15470000001</v>
      </c>
      <c r="M25" s="72">
        <v>11935.721</v>
      </c>
      <c r="N25" s="72">
        <v>20.593</v>
      </c>
      <c r="O25" s="60">
        <f t="shared" si="7"/>
        <v>249205.4687</v>
      </c>
      <c r="P25" s="73">
        <v>328377.91899999999</v>
      </c>
      <c r="Q25" s="60">
        <f t="shared" si="8"/>
        <v>75.889837373626818</v>
      </c>
    </row>
    <row r="26" spans="1:17" ht="23.1" customHeight="1" x14ac:dyDescent="0.3">
      <c r="A26" s="64" t="s">
        <v>25</v>
      </c>
      <c r="B26" s="65">
        <v>6042</v>
      </c>
      <c r="C26" s="64">
        <v>23383.45</v>
      </c>
      <c r="D26" s="66">
        <v>15532.034</v>
      </c>
      <c r="E26" s="65">
        <v>1010979</v>
      </c>
      <c r="F26" s="64">
        <v>2664613</v>
      </c>
      <c r="G26" s="64">
        <v>3202538</v>
      </c>
      <c r="H26" s="67">
        <f t="shared" si="5"/>
        <v>83.20316573917313</v>
      </c>
      <c r="I26" s="68">
        <v>3366.9920000000002</v>
      </c>
      <c r="J26" s="68">
        <v>5.6840000000000002</v>
      </c>
      <c r="K26" s="68">
        <f t="shared" si="6"/>
        <v>3372.6760000000004</v>
      </c>
      <c r="L26" s="69">
        <v>239814.815</v>
      </c>
      <c r="M26" s="68">
        <v>9484.723</v>
      </c>
      <c r="N26" s="68">
        <v>13.086</v>
      </c>
      <c r="O26" s="67">
        <f t="shared" si="7"/>
        <v>249312.62400000001</v>
      </c>
      <c r="P26" s="69">
        <v>325507.34499999997</v>
      </c>
      <c r="Q26" s="67">
        <f t="shared" si="8"/>
        <v>76.592011771654498</v>
      </c>
    </row>
    <row r="27" spans="1:17" s="30" customFormat="1" ht="30" customHeight="1" x14ac:dyDescent="0.25">
      <c r="A27" s="56" t="s">
        <v>26</v>
      </c>
      <c r="B27" s="70">
        <v>6433</v>
      </c>
      <c r="C27" s="56">
        <v>24480.2</v>
      </c>
      <c r="D27" s="71">
        <v>16337.753000000001</v>
      </c>
      <c r="E27" s="70">
        <v>931855</v>
      </c>
      <c r="F27" s="56">
        <v>2930439</v>
      </c>
      <c r="G27" s="56">
        <v>3347344</v>
      </c>
      <c r="H27" s="60">
        <f t="shared" si="5"/>
        <v>87.545200015295705</v>
      </c>
      <c r="I27" s="72">
        <v>3606.0940000000001</v>
      </c>
      <c r="J27" s="72">
        <v>6.8949999999999996</v>
      </c>
      <c r="K27" s="72">
        <f t="shared" si="6"/>
        <v>3612.989</v>
      </c>
      <c r="L27" s="73">
        <v>263739.23599999998</v>
      </c>
      <c r="M27" s="72">
        <v>10625.392067509996</v>
      </c>
      <c r="N27" s="72">
        <v>13.745208100000001</v>
      </c>
      <c r="O27" s="60">
        <f t="shared" si="7"/>
        <v>274378.37327560998</v>
      </c>
      <c r="P27" s="73">
        <v>341914.65299999999</v>
      </c>
      <c r="Q27" s="60">
        <f t="shared" si="8"/>
        <v>80.247620529913348</v>
      </c>
    </row>
    <row r="28" spans="1:17" ht="23.1" customHeight="1" x14ac:dyDescent="0.3">
      <c r="A28" s="64" t="s">
        <v>27</v>
      </c>
      <c r="B28" s="65">
        <v>6542</v>
      </c>
      <c r="C28" s="64">
        <v>24981.083333333332</v>
      </c>
      <c r="D28" s="66">
        <v>16692.972000000002</v>
      </c>
      <c r="E28" s="65">
        <v>1093594</v>
      </c>
      <c r="F28" s="64">
        <v>2870305</v>
      </c>
      <c r="G28" s="64">
        <v>3404054</v>
      </c>
      <c r="H28" s="67">
        <f t="shared" si="5"/>
        <v>84.3201958605827</v>
      </c>
      <c r="I28" s="68">
        <v>3330.7910000000002</v>
      </c>
      <c r="J28" s="68">
        <v>6.8719999999999999</v>
      </c>
      <c r="K28" s="68">
        <f t="shared" si="6"/>
        <v>3337.663</v>
      </c>
      <c r="L28" s="69">
        <v>258326.52799999999</v>
      </c>
      <c r="M28" s="68">
        <v>9218.9599999999991</v>
      </c>
      <c r="N28" s="68">
        <v>15.771000000000001</v>
      </c>
      <c r="O28" s="67">
        <f t="shared" si="7"/>
        <v>267561.25900000002</v>
      </c>
      <c r="P28" s="69">
        <v>349836.071</v>
      </c>
      <c r="Q28" s="67">
        <f t="shared" si="8"/>
        <v>76.481895716236764</v>
      </c>
    </row>
    <row r="29" spans="1:17" ht="23.1" customHeight="1" x14ac:dyDescent="0.3">
      <c r="A29" s="56" t="s">
        <v>28</v>
      </c>
      <c r="B29" s="70">
        <v>6929</v>
      </c>
      <c r="C29" s="56">
        <v>26604.583333333332</v>
      </c>
      <c r="D29" s="71">
        <v>17696.723999999998</v>
      </c>
      <c r="E29" s="70">
        <v>1120074</v>
      </c>
      <c r="F29" s="56">
        <v>2941699</v>
      </c>
      <c r="G29" s="56">
        <v>3577183</v>
      </c>
      <c r="H29" s="60">
        <f t="shared" si="5"/>
        <v>82.235071563294355</v>
      </c>
      <c r="I29" s="72">
        <v>3751.451</v>
      </c>
      <c r="J29" s="72">
        <v>14.082000000000001</v>
      </c>
      <c r="K29" s="72">
        <f t="shared" si="6"/>
        <v>3765.5329999999999</v>
      </c>
      <c r="L29" s="73">
        <v>264752.299</v>
      </c>
      <c r="M29" s="72">
        <v>10201.548000000001</v>
      </c>
      <c r="N29" s="72">
        <v>31.486000000000001</v>
      </c>
      <c r="O29" s="60">
        <f t="shared" si="7"/>
        <v>274985.33299999998</v>
      </c>
      <c r="P29" s="73">
        <v>365030.429</v>
      </c>
      <c r="Q29" s="60">
        <f t="shared" si="8"/>
        <v>75.332167171192182</v>
      </c>
    </row>
    <row r="30" spans="1:17" ht="23.1" customHeight="1" x14ac:dyDescent="0.3">
      <c r="A30" s="64" t="s">
        <v>29</v>
      </c>
      <c r="B30" s="65">
        <v>7169</v>
      </c>
      <c r="C30" s="64">
        <v>27517.15</v>
      </c>
      <c r="D30" s="66">
        <v>18330.528999999999</v>
      </c>
      <c r="E30" s="65">
        <v>1138708</v>
      </c>
      <c r="F30" s="64">
        <v>3003274</v>
      </c>
      <c r="G30" s="64">
        <v>3678993</v>
      </c>
      <c r="H30" s="67">
        <f t="shared" si="5"/>
        <v>81.633044694567232</v>
      </c>
      <c r="I30" s="68">
        <v>3687.0990000000002</v>
      </c>
      <c r="J30" s="68">
        <v>24.132000000000001</v>
      </c>
      <c r="K30" s="68">
        <f t="shared" si="6"/>
        <v>3711.2310000000002</v>
      </c>
      <c r="L30" s="69">
        <v>270294.446</v>
      </c>
      <c r="M30" s="68">
        <v>10018.885</v>
      </c>
      <c r="N30" s="68">
        <v>56.610999999999997</v>
      </c>
      <c r="O30" s="67">
        <f t="shared" si="7"/>
        <v>280369.94199999998</v>
      </c>
      <c r="P30" s="69">
        <v>357745.15600000002</v>
      </c>
      <c r="Q30" s="67">
        <f t="shared" si="8"/>
        <v>78.371415321134336</v>
      </c>
    </row>
    <row r="31" spans="1:17" ht="23.1" customHeight="1" x14ac:dyDescent="0.3">
      <c r="A31" s="56" t="s">
        <v>30</v>
      </c>
      <c r="B31" s="70">
        <v>7125</v>
      </c>
      <c r="C31" s="56">
        <v>27117.166666666668</v>
      </c>
      <c r="D31" s="71">
        <v>18038.09</v>
      </c>
      <c r="E31" s="70">
        <v>1109716</v>
      </c>
      <c r="F31" s="56">
        <v>2872226</v>
      </c>
      <c r="G31" s="56">
        <v>3594938</v>
      </c>
      <c r="H31" s="60">
        <f t="shared" si="5"/>
        <v>79.896398769603266</v>
      </c>
      <c r="I31" s="72">
        <v>3881.6579999999999</v>
      </c>
      <c r="J31" s="72">
        <v>23.053000000000001</v>
      </c>
      <c r="K31" s="72">
        <f t="shared" si="6"/>
        <v>3904.7109999999998</v>
      </c>
      <c r="L31" s="73">
        <v>258500.49900000001</v>
      </c>
      <c r="M31" s="72">
        <v>10827.659</v>
      </c>
      <c r="N31" s="72">
        <v>56.360999999999997</v>
      </c>
      <c r="O31" s="60">
        <f t="shared" si="7"/>
        <v>269384.51899999997</v>
      </c>
      <c r="P31" s="73">
        <v>340179.25799999997</v>
      </c>
      <c r="Q31" s="60">
        <f t="shared" si="8"/>
        <v>79.188990117674948</v>
      </c>
    </row>
    <row r="32" spans="1:17" ht="23.1" customHeight="1" x14ac:dyDescent="0.3">
      <c r="A32" s="64" t="s">
        <v>31</v>
      </c>
      <c r="B32" s="65">
        <v>7257</v>
      </c>
      <c r="C32" s="64">
        <v>27764.400000000001</v>
      </c>
      <c r="D32" s="66">
        <v>18450.131000000001</v>
      </c>
      <c r="E32" s="65">
        <v>1173741</v>
      </c>
      <c r="F32" s="64">
        <v>3044414</v>
      </c>
      <c r="G32" s="64">
        <v>3763401</v>
      </c>
      <c r="H32" s="67">
        <f t="shared" si="5"/>
        <v>80.895285939499942</v>
      </c>
      <c r="I32" s="68">
        <v>4173.1149999999998</v>
      </c>
      <c r="J32" s="68">
        <v>14.112</v>
      </c>
      <c r="K32" s="68">
        <f t="shared" si="6"/>
        <v>4187.2269999999999</v>
      </c>
      <c r="L32" s="69">
        <v>273996.49900000001</v>
      </c>
      <c r="M32" s="68">
        <v>12254.322</v>
      </c>
      <c r="N32" s="68">
        <v>31.684999999999999</v>
      </c>
      <c r="O32" s="67">
        <f t="shared" si="7"/>
        <v>286282.50599999999</v>
      </c>
      <c r="P32" s="69">
        <v>352315.13199999998</v>
      </c>
      <c r="Q32" s="67">
        <f t="shared" si="8"/>
        <v>81.257510676549643</v>
      </c>
    </row>
    <row r="33" spans="1:17" ht="23.1" customHeight="1" x14ac:dyDescent="0.3">
      <c r="A33" s="56" t="s">
        <v>32</v>
      </c>
      <c r="B33" s="70">
        <v>7075</v>
      </c>
      <c r="C33" s="56">
        <v>27334.166666666668</v>
      </c>
      <c r="D33" s="71">
        <v>18110.311000000002</v>
      </c>
      <c r="E33" s="70">
        <v>1198155</v>
      </c>
      <c r="F33" s="56">
        <v>3115645</v>
      </c>
      <c r="G33" s="56">
        <v>3573551</v>
      </c>
      <c r="H33" s="60">
        <f t="shared" si="5"/>
        <v>87.186246957158303</v>
      </c>
      <c r="I33" s="72">
        <v>3109.1779999999999</v>
      </c>
      <c r="J33" s="72">
        <v>10.387</v>
      </c>
      <c r="K33" s="72">
        <f t="shared" si="6"/>
        <v>3119.5650000000001</v>
      </c>
      <c r="L33" s="73">
        <v>280407.98599999998</v>
      </c>
      <c r="M33" s="72">
        <v>7957.6769999999997</v>
      </c>
      <c r="N33" s="72">
        <v>20.667000000000002</v>
      </c>
      <c r="O33" s="60">
        <f t="shared" si="7"/>
        <v>288386.33</v>
      </c>
      <c r="P33" s="73">
        <v>347822.76</v>
      </c>
      <c r="Q33" s="60">
        <f t="shared" si="8"/>
        <v>82.911862926968908</v>
      </c>
    </row>
    <row r="34" spans="1:17" ht="23.1" customHeight="1" x14ac:dyDescent="0.3">
      <c r="A34" s="64" t="s">
        <v>33</v>
      </c>
      <c r="B34" s="74">
        <v>7874</v>
      </c>
      <c r="C34" s="75">
        <v>30392.799999999999</v>
      </c>
      <c r="D34" s="76">
        <v>19928.152999999998</v>
      </c>
      <c r="E34" s="74">
        <v>1335486</v>
      </c>
      <c r="F34" s="75">
        <v>3497684</v>
      </c>
      <c r="G34" s="75">
        <v>4034400</v>
      </c>
      <c r="H34" s="67">
        <f t="shared" si="5"/>
        <v>86.696510013880626</v>
      </c>
      <c r="I34" s="77">
        <v>3572.6759999999999</v>
      </c>
      <c r="J34" s="77">
        <v>11.709</v>
      </c>
      <c r="K34" s="77">
        <f t="shared" si="6"/>
        <v>3584.3849999999998</v>
      </c>
      <c r="L34" s="78">
        <v>314791.326</v>
      </c>
      <c r="M34" s="77">
        <v>9420.8629999999994</v>
      </c>
      <c r="N34" s="77">
        <v>27.138000000000002</v>
      </c>
      <c r="O34" s="79">
        <f t="shared" si="7"/>
        <v>324239.32699999999</v>
      </c>
      <c r="P34" s="78">
        <v>382044.73599999998</v>
      </c>
      <c r="Q34" s="79">
        <f t="shared" si="8"/>
        <v>84.869465915112102</v>
      </c>
    </row>
    <row r="35" spans="1:17" ht="23.1" customHeight="1" x14ac:dyDescent="0.3">
      <c r="A35" s="80" t="s">
        <v>34</v>
      </c>
      <c r="B35" s="81">
        <f t="shared" ref="B35:G35" si="9">SUM(B23:B34)</f>
        <v>80243</v>
      </c>
      <c r="C35" s="81">
        <f t="shared" si="9"/>
        <v>308508.71666666667</v>
      </c>
      <c r="D35" s="81">
        <f t="shared" si="9"/>
        <v>204555.14899999998</v>
      </c>
      <c r="E35" s="81">
        <f t="shared" si="9"/>
        <v>13126683</v>
      </c>
      <c r="F35" s="81">
        <f t="shared" si="9"/>
        <v>34813972</v>
      </c>
      <c r="G35" s="81">
        <f t="shared" si="9"/>
        <v>41518936</v>
      </c>
      <c r="H35" s="82">
        <f t="shared" si="5"/>
        <v>83.850828932610412</v>
      </c>
      <c r="I35" s="83">
        <f>SUM(I23:I34)</f>
        <v>43433.283000000003</v>
      </c>
      <c r="J35" s="83">
        <f>SUM(J23:J34)</f>
        <v>145.99099999999999</v>
      </c>
      <c r="K35" s="83">
        <f t="shared" si="6"/>
        <v>43579.274000000005</v>
      </c>
      <c r="L35" s="83">
        <f>SUM(L23:L34)</f>
        <v>3133254.5986999995</v>
      </c>
      <c r="M35" s="83">
        <f>SUM(M23:M34)</f>
        <v>122117.41706750997</v>
      </c>
      <c r="N35" s="83">
        <f>SUM(N23:N34)</f>
        <v>340.89620810000002</v>
      </c>
      <c r="O35" s="83">
        <f t="shared" si="7"/>
        <v>3255712.9119756096</v>
      </c>
      <c r="P35" s="83">
        <f>SUM(P23:P34)</f>
        <v>4114610.4099999997</v>
      </c>
      <c r="Q35" s="83">
        <f t="shared" si="8"/>
        <v>79.125666528793175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269</v>
      </c>
      <c r="C42" s="94">
        <v>161.6</v>
      </c>
      <c r="D42" s="95">
        <v>175.97300000000001</v>
      </c>
      <c r="E42" s="93">
        <v>25657</v>
      </c>
      <c r="F42" s="94">
        <v>14839</v>
      </c>
      <c r="G42" s="94">
        <v>17547</v>
      </c>
      <c r="H42" s="96">
        <f t="shared" ref="H42:H54" si="10">IFERROR(F42/G42*100," ")</f>
        <v>84.567162477916455</v>
      </c>
      <c r="I42" s="97">
        <v>469.03215999999998</v>
      </c>
      <c r="J42" s="98">
        <v>2.4537200000000006</v>
      </c>
      <c r="K42" s="96">
        <f>IF(AND(ISBLANK(I42),ISBLANK(J42))=TRUE,"",I42+J42)</f>
        <v>471.48587999999995</v>
      </c>
      <c r="L42" s="97">
        <v>1331.3913299999999</v>
      </c>
      <c r="M42" s="98">
        <v>537.91504959999997</v>
      </c>
      <c r="N42" s="98">
        <v>2.75324276</v>
      </c>
      <c r="O42" s="96">
        <f>IF(AND(ISBLANK(L42),ISBLANK(M42),ISBLANK(N42))=TRUE,"",L42+M42+N42)</f>
        <v>1872.0596223599998</v>
      </c>
      <c r="P42" s="97">
        <v>3332.5372299999999</v>
      </c>
      <c r="Q42" s="96">
        <f>IFERROR(O42/P42*100," ")</f>
        <v>56.175205051197572</v>
      </c>
    </row>
    <row r="43" spans="1:17" ht="25.5" customHeight="1" x14ac:dyDescent="0.3">
      <c r="A43" s="99" t="s">
        <v>23</v>
      </c>
      <c r="B43" s="100">
        <v>278</v>
      </c>
      <c r="C43" s="101">
        <v>573.20000000000005</v>
      </c>
      <c r="D43" s="102">
        <v>185.42599999999999</v>
      </c>
      <c r="E43" s="100">
        <v>24636</v>
      </c>
      <c r="F43" s="101">
        <v>13572</v>
      </c>
      <c r="G43" s="101">
        <v>15785</v>
      </c>
      <c r="H43" s="103">
        <f t="shared" si="10"/>
        <v>85.980361102312315</v>
      </c>
      <c r="I43" s="104">
        <v>404.81294999999994</v>
      </c>
      <c r="J43" s="105">
        <v>5.1185299999999989</v>
      </c>
      <c r="K43" s="103">
        <f t="shared" ref="K43:K54" si="11">IF(AND(ISBLANK(I43),ISBLANK(J43))=TRUE,"",I43+J43)</f>
        <v>409.93147999999997</v>
      </c>
      <c r="L43" s="104">
        <v>1221.45849</v>
      </c>
      <c r="M43" s="105">
        <v>519.55916000000002</v>
      </c>
      <c r="N43" s="105">
        <v>4.8558899999999996</v>
      </c>
      <c r="O43" s="103">
        <f t="shared" ref="O43:O54" si="12">IF(AND(ISBLANK(L43),ISBLANK(M43),ISBLANK(N43))=TRUE,"",L43+M43+N43)</f>
        <v>1745.87354</v>
      </c>
      <c r="P43" s="104">
        <v>3588.9784300000001</v>
      </c>
      <c r="Q43" s="103">
        <f t="shared" ref="Q43:Q54" si="13">IFERROR(O43/P43*100," ")</f>
        <v>48.645417464935839</v>
      </c>
    </row>
    <row r="44" spans="1:17" ht="25.5" customHeight="1" x14ac:dyDescent="0.3">
      <c r="A44" s="92" t="s">
        <v>24</v>
      </c>
      <c r="B44" s="106">
        <v>317</v>
      </c>
      <c r="C44" s="107">
        <v>710.93333333333328</v>
      </c>
      <c r="D44" s="108">
        <v>238.43280000000001</v>
      </c>
      <c r="E44" s="106">
        <v>26906</v>
      </c>
      <c r="F44" s="107">
        <v>15713</v>
      </c>
      <c r="G44" s="107">
        <v>18288</v>
      </c>
      <c r="H44" s="109">
        <f t="shared" si="10"/>
        <v>85.919728783902016</v>
      </c>
      <c r="I44" s="110">
        <v>719.8521199999999</v>
      </c>
      <c r="J44" s="111">
        <v>13.174419999999998</v>
      </c>
      <c r="K44" s="109">
        <f t="shared" si="11"/>
        <v>733.02653999999984</v>
      </c>
      <c r="L44" s="110">
        <v>1414.2097799999999</v>
      </c>
      <c r="M44" s="111">
        <v>1017.0502600000001</v>
      </c>
      <c r="N44" s="111">
        <v>19.677800000000001</v>
      </c>
      <c r="O44" s="109">
        <f t="shared" si="12"/>
        <v>2450.9378400000001</v>
      </c>
      <c r="P44" s="110">
        <v>4759.0750900000003</v>
      </c>
      <c r="Q44" s="109">
        <f t="shared" si="13"/>
        <v>51.500297718563623</v>
      </c>
    </row>
    <row r="45" spans="1:17" ht="25.5" customHeight="1" x14ac:dyDescent="0.3">
      <c r="A45" s="99" t="s">
        <v>25</v>
      </c>
      <c r="B45" s="100">
        <v>333</v>
      </c>
      <c r="C45" s="112">
        <v>765.63333333333333</v>
      </c>
      <c r="D45" s="102">
        <v>255.77629999999999</v>
      </c>
      <c r="E45" s="100">
        <v>27915</v>
      </c>
      <c r="F45" s="101">
        <v>15691</v>
      </c>
      <c r="G45" s="101">
        <v>18994</v>
      </c>
      <c r="H45" s="103">
        <f t="shared" si="10"/>
        <v>82.610297988838582</v>
      </c>
      <c r="I45" s="104">
        <v>772.04978657000004</v>
      </c>
      <c r="J45" s="105">
        <v>17.216453429999998</v>
      </c>
      <c r="K45" s="103">
        <f t="shared" si="11"/>
        <v>789.26624000000004</v>
      </c>
      <c r="L45" s="104">
        <v>1407.6019799999999</v>
      </c>
      <c r="M45" s="105">
        <v>1137.2744399999999</v>
      </c>
      <c r="N45" s="105">
        <v>15.81846</v>
      </c>
      <c r="O45" s="103">
        <f t="shared" si="12"/>
        <v>2560.6948799999996</v>
      </c>
      <c r="P45" s="104">
        <v>3845.1374300000002</v>
      </c>
      <c r="Q45" s="103">
        <f t="shared" si="13"/>
        <v>66.595665996780752</v>
      </c>
    </row>
    <row r="46" spans="1:17" ht="25.5" customHeight="1" x14ac:dyDescent="0.3">
      <c r="A46" s="92" t="s">
        <v>26</v>
      </c>
      <c r="B46" s="106">
        <v>170</v>
      </c>
      <c r="C46" s="113">
        <v>545.23333333333335</v>
      </c>
      <c r="D46" s="108">
        <v>165.22980000000001</v>
      </c>
      <c r="E46" s="106">
        <v>4268</v>
      </c>
      <c r="F46" s="107">
        <v>2817</v>
      </c>
      <c r="G46" s="107">
        <v>3962</v>
      </c>
      <c r="H46" s="109">
        <f t="shared" si="10"/>
        <v>71.100454316002015</v>
      </c>
      <c r="I46" s="110">
        <v>702.6886649999999</v>
      </c>
      <c r="J46" s="111">
        <v>1.5746900000000001</v>
      </c>
      <c r="K46" s="109">
        <f t="shared" si="11"/>
        <v>704.26335499999993</v>
      </c>
      <c r="L46" s="110">
        <v>251.25200000000001</v>
      </c>
      <c r="M46" s="111">
        <v>971.15300000000002</v>
      </c>
      <c r="N46" s="111">
        <v>1.9538199999999999</v>
      </c>
      <c r="O46" s="109">
        <f t="shared" si="12"/>
        <v>1224.3588199999999</v>
      </c>
      <c r="P46" s="110">
        <v>3367.7049999999999</v>
      </c>
      <c r="Q46" s="109">
        <f t="shared" si="13"/>
        <v>36.355880933751614</v>
      </c>
    </row>
    <row r="47" spans="1:17" ht="25.5" customHeight="1" x14ac:dyDescent="0.3">
      <c r="A47" s="99" t="s">
        <v>27</v>
      </c>
      <c r="B47" s="114">
        <v>205</v>
      </c>
      <c r="C47" s="115">
        <v>671.3</v>
      </c>
      <c r="D47" s="102">
        <v>339.69289350000003</v>
      </c>
      <c r="E47" s="114">
        <v>5451</v>
      </c>
      <c r="F47" s="115">
        <v>3385</v>
      </c>
      <c r="G47" s="115">
        <v>4645</v>
      </c>
      <c r="H47" s="103">
        <f t="shared" si="10"/>
        <v>72.874058127018301</v>
      </c>
      <c r="I47" s="116">
        <v>788.49520000000007</v>
      </c>
      <c r="J47" s="117">
        <v>0.29381000000000002</v>
      </c>
      <c r="K47" s="103">
        <f t="shared" si="11"/>
        <v>788.78901000000008</v>
      </c>
      <c r="L47" s="116">
        <v>300.01706999999999</v>
      </c>
      <c r="M47" s="117">
        <v>1021.57726</v>
      </c>
      <c r="N47" s="117">
        <v>0.37574463400000002</v>
      </c>
      <c r="O47" s="103">
        <f t="shared" si="12"/>
        <v>1321.970074634</v>
      </c>
      <c r="P47" s="116">
        <v>4140.7867270000006</v>
      </c>
      <c r="Q47" s="103">
        <f t="shared" si="13"/>
        <v>31.925577475751016</v>
      </c>
    </row>
    <row r="48" spans="1:17" s="125" customFormat="1" ht="25.5" customHeight="1" x14ac:dyDescent="0.3">
      <c r="A48" s="118" t="s">
        <v>28</v>
      </c>
      <c r="B48" s="119">
        <v>164</v>
      </c>
      <c r="C48" s="120">
        <v>532.38333333333333</v>
      </c>
      <c r="D48" s="121">
        <v>159.36199999999999</v>
      </c>
      <c r="E48" s="119">
        <v>5531</v>
      </c>
      <c r="F48" s="120">
        <v>3131</v>
      </c>
      <c r="G48" s="120">
        <v>4353</v>
      </c>
      <c r="H48" s="122">
        <f t="shared" si="10"/>
        <v>71.927406386400179</v>
      </c>
      <c r="I48" s="123">
        <v>692.80108500000017</v>
      </c>
      <c r="J48" s="124">
        <v>0.29701</v>
      </c>
      <c r="K48" s="122">
        <f t="shared" si="11"/>
        <v>693.09809500000017</v>
      </c>
      <c r="L48" s="123">
        <v>279.51362999999998</v>
      </c>
      <c r="M48" s="124">
        <v>997.70339789999991</v>
      </c>
      <c r="N48" s="124">
        <v>0.482615552</v>
      </c>
      <c r="O48" s="122">
        <f t="shared" si="12"/>
        <v>1277.6996434519999</v>
      </c>
      <c r="P48" s="123">
        <v>3212.2283400000006</v>
      </c>
      <c r="Q48" s="122">
        <f t="shared" si="13"/>
        <v>39.776115151639551</v>
      </c>
    </row>
    <row r="49" spans="1:17" ht="25.5" customHeight="1" x14ac:dyDescent="0.3">
      <c r="A49" s="99" t="s">
        <v>29</v>
      </c>
      <c r="B49" s="114">
        <v>158</v>
      </c>
      <c r="C49" s="115">
        <v>464.43333333333334</v>
      </c>
      <c r="D49" s="126">
        <v>145.42427799999999</v>
      </c>
      <c r="E49" s="114">
        <v>5310</v>
      </c>
      <c r="F49" s="115">
        <v>3136</v>
      </c>
      <c r="G49" s="115">
        <v>4516</v>
      </c>
      <c r="H49" s="103">
        <f t="shared" si="10"/>
        <v>69.441984056687332</v>
      </c>
      <c r="I49" s="116">
        <v>688.78272500000003</v>
      </c>
      <c r="J49" s="117">
        <v>0.46163999999999999</v>
      </c>
      <c r="K49" s="103">
        <f t="shared" si="11"/>
        <v>689.24436500000002</v>
      </c>
      <c r="L49" s="116">
        <v>275.91174000000001</v>
      </c>
      <c r="M49" s="117">
        <v>995.19363720000001</v>
      </c>
      <c r="N49" s="117">
        <v>0.51239627499999996</v>
      </c>
      <c r="O49" s="103">
        <f t="shared" si="12"/>
        <v>1271.6177734749999</v>
      </c>
      <c r="P49" s="116">
        <v>2861.7481319999997</v>
      </c>
      <c r="Q49" s="103">
        <f t="shared" si="13"/>
        <v>44.434999686233745</v>
      </c>
    </row>
    <row r="50" spans="1:17" ht="25.5" customHeight="1" x14ac:dyDescent="0.3">
      <c r="A50" s="92" t="s">
        <v>30</v>
      </c>
      <c r="B50" s="127">
        <v>186</v>
      </c>
      <c r="C50" s="128">
        <v>617.35</v>
      </c>
      <c r="D50" s="129">
        <v>187.11355600000002</v>
      </c>
      <c r="E50" s="127">
        <v>5212</v>
      </c>
      <c r="F50" s="128">
        <v>2931</v>
      </c>
      <c r="G50" s="128">
        <v>4278</v>
      </c>
      <c r="H50" s="109">
        <f t="shared" si="10"/>
        <v>68.513323983169698</v>
      </c>
      <c r="I50" s="130">
        <v>1093.4689949999999</v>
      </c>
      <c r="J50" s="131">
        <v>5.0000000000000001E-3</v>
      </c>
      <c r="K50" s="109">
        <f t="shared" si="11"/>
        <v>1093.4739950000001</v>
      </c>
      <c r="L50" s="130">
        <v>259.45218</v>
      </c>
      <c r="M50" s="131">
        <v>1571.5578189999999</v>
      </c>
      <c r="N50" s="131">
        <v>1.6000000000000001E-3</v>
      </c>
      <c r="O50" s="109">
        <f t="shared" si="12"/>
        <v>1831.0115989999999</v>
      </c>
      <c r="P50" s="130">
        <v>3848.3895850000004</v>
      </c>
      <c r="Q50" s="109">
        <f t="shared" si="13"/>
        <v>47.578644483832832</v>
      </c>
    </row>
    <row r="51" spans="1:17" ht="25.5" customHeight="1" x14ac:dyDescent="0.3">
      <c r="A51" s="99" t="s">
        <v>31</v>
      </c>
      <c r="B51" s="114">
        <v>157</v>
      </c>
      <c r="C51" s="115">
        <v>457.86666666666667</v>
      </c>
      <c r="D51" s="126">
        <v>138.541</v>
      </c>
      <c r="E51" s="114">
        <v>5133</v>
      </c>
      <c r="F51" s="115">
        <v>3088</v>
      </c>
      <c r="G51" s="115">
        <v>4320</v>
      </c>
      <c r="H51" s="103">
        <f t="shared" si="10"/>
        <v>71.481481481481481</v>
      </c>
      <c r="I51" s="116">
        <v>729.10858999999994</v>
      </c>
      <c r="J51" s="117">
        <v>5.1999999999999998E-2</v>
      </c>
      <c r="K51" s="103">
        <f t="shared" si="11"/>
        <v>729.16058999999996</v>
      </c>
      <c r="L51" s="116">
        <v>276.62193000000002</v>
      </c>
      <c r="M51" s="117">
        <v>1019.82301</v>
      </c>
      <c r="N51" s="117">
        <v>8.7070999999999996E-2</v>
      </c>
      <c r="O51" s="103">
        <f t="shared" si="12"/>
        <v>1296.5320109999998</v>
      </c>
      <c r="P51" s="116">
        <v>2691.7547200000004</v>
      </c>
      <c r="Q51" s="103">
        <f t="shared" si="13"/>
        <v>48.166796230230055</v>
      </c>
    </row>
    <row r="52" spans="1:17" ht="25.5" customHeight="1" x14ac:dyDescent="0.3">
      <c r="A52" s="92" t="s">
        <v>32</v>
      </c>
      <c r="B52" s="127">
        <v>153</v>
      </c>
      <c r="C52" s="128">
        <v>429.43333333333334</v>
      </c>
      <c r="D52" s="129">
        <v>138.09700000000001</v>
      </c>
      <c r="E52" s="127">
        <v>5932</v>
      </c>
      <c r="F52" s="128">
        <v>3654</v>
      </c>
      <c r="G52" s="128">
        <v>4388</v>
      </c>
      <c r="H52" s="109">
        <f t="shared" si="10"/>
        <v>83.272561531449412</v>
      </c>
      <c r="I52" s="130">
        <v>725.50531000000001</v>
      </c>
      <c r="J52" s="131">
        <v>1.086E-2</v>
      </c>
      <c r="K52" s="109">
        <f t="shared" si="11"/>
        <v>725.51616999999999</v>
      </c>
      <c r="L52" s="130">
        <v>325.24191000000002</v>
      </c>
      <c r="M52" s="131">
        <v>1070.970442</v>
      </c>
      <c r="N52" s="131">
        <v>2.2548189999999999E-2</v>
      </c>
      <c r="O52" s="109">
        <f t="shared" si="12"/>
        <v>1396.23490019</v>
      </c>
      <c r="P52" s="130">
        <v>2720.1337600000002</v>
      </c>
      <c r="Q52" s="109">
        <f t="shared" si="13"/>
        <v>51.329641237569135</v>
      </c>
    </row>
    <row r="53" spans="1:17" ht="25.5" customHeight="1" x14ac:dyDescent="0.3">
      <c r="A53" s="99" t="s">
        <v>33</v>
      </c>
      <c r="B53" s="132">
        <v>163</v>
      </c>
      <c r="C53" s="133">
        <v>320.55</v>
      </c>
      <c r="D53" s="134">
        <v>155.85599999999999</v>
      </c>
      <c r="E53" s="132">
        <v>6654</v>
      </c>
      <c r="F53" s="133">
        <v>4227</v>
      </c>
      <c r="G53" s="133">
        <v>5000</v>
      </c>
      <c r="H53" s="135">
        <f t="shared" si="10"/>
        <v>84.54</v>
      </c>
      <c r="I53" s="136">
        <v>962.05957000000001</v>
      </c>
      <c r="J53" s="137">
        <v>1.20366</v>
      </c>
      <c r="K53" s="135">
        <f t="shared" si="11"/>
        <v>963.26323000000002</v>
      </c>
      <c r="L53" s="136">
        <v>376.90899999999999</v>
      </c>
      <c r="M53" s="137">
        <v>1476.37</v>
      </c>
      <c r="N53" s="137">
        <v>0.61719360000000001</v>
      </c>
      <c r="O53" s="135">
        <f t="shared" si="12"/>
        <v>1853.8961936000001</v>
      </c>
      <c r="P53" s="136">
        <v>3100.3219199999999</v>
      </c>
      <c r="Q53" s="135">
        <f t="shared" si="13"/>
        <v>59.796893401314918</v>
      </c>
    </row>
    <row r="54" spans="1:17" ht="25.5" customHeight="1" x14ac:dyDescent="0.3">
      <c r="A54" s="138" t="s">
        <v>34</v>
      </c>
      <c r="B54" s="139">
        <f t="shared" ref="B54:G54" si="14">SUM(B42:B53)</f>
        <v>2553</v>
      </c>
      <c r="C54" s="139">
        <f t="shared" si="14"/>
        <v>6249.9166666666679</v>
      </c>
      <c r="D54" s="139">
        <f t="shared" si="14"/>
        <v>2284.9246275000005</v>
      </c>
      <c r="E54" s="139">
        <f t="shared" si="14"/>
        <v>148605</v>
      </c>
      <c r="F54" s="139">
        <f t="shared" si="14"/>
        <v>86184</v>
      </c>
      <c r="G54" s="139">
        <f t="shared" si="14"/>
        <v>106076</v>
      </c>
      <c r="H54" s="140">
        <f t="shared" si="10"/>
        <v>81.247407519137226</v>
      </c>
      <c r="I54" s="140">
        <f>SUM(I42:I53)</f>
        <v>8748.6571565699996</v>
      </c>
      <c r="J54" s="140">
        <f>SUM(J42:J53)</f>
        <v>41.861793429999999</v>
      </c>
      <c r="K54" s="140">
        <f t="shared" si="11"/>
        <v>8790.5189499999997</v>
      </c>
      <c r="L54" s="140">
        <f>SUM(L42:L53)</f>
        <v>7719.5810400000009</v>
      </c>
      <c r="M54" s="140">
        <f>SUM(M42:M53)</f>
        <v>12336.1474757</v>
      </c>
      <c r="N54" s="140">
        <f>SUM(N42:N53)</f>
        <v>47.158382011000008</v>
      </c>
      <c r="O54" s="140">
        <f t="shared" si="12"/>
        <v>20102.886897711</v>
      </c>
      <c r="P54" s="141">
        <f>SUM(P42:P53)</f>
        <v>41468.796363999994</v>
      </c>
      <c r="Q54" s="140">
        <f t="shared" si="13"/>
        <v>48.477141032149113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>
        <v>62</v>
      </c>
      <c r="C61" s="152">
        <v>518.26666666666665</v>
      </c>
      <c r="D61" s="153">
        <v>99.666672820000002</v>
      </c>
      <c r="E61" s="151"/>
      <c r="F61" s="152"/>
      <c r="G61" s="152"/>
      <c r="H61" s="154" t="str">
        <f t="shared" ref="H61:H73" si="15">IFERROR(F61/G61*100," ")</f>
        <v xml:space="preserve"> </v>
      </c>
      <c r="I61" s="155">
        <v>785.250315</v>
      </c>
      <c r="J61" s="156">
        <v>0</v>
      </c>
      <c r="K61" s="156">
        <f>IF(AND(ISBLANK(I61),ISBLANK(J61))=TRUE,"",I61+J61)</f>
        <v>785.250315</v>
      </c>
      <c r="L61" s="155"/>
      <c r="M61" s="156">
        <v>1142.0734210000001</v>
      </c>
      <c r="N61" s="156">
        <v>0</v>
      </c>
      <c r="O61" s="157">
        <f>IF(AND(ISBLANK(L61),ISBLANK(M61),ISBLANK(N61))=TRUE,"",L61+M61+N61)</f>
        <v>1142.0734210000001</v>
      </c>
      <c r="P61" s="156">
        <v>2382.2878059999998</v>
      </c>
      <c r="Q61" s="154">
        <f>IFERROR(O61/P61*100," ")</f>
        <v>47.940195056348287</v>
      </c>
    </row>
    <row r="62" spans="1:17" ht="24.75" customHeight="1" x14ac:dyDescent="0.3">
      <c r="A62" s="99" t="s">
        <v>23</v>
      </c>
      <c r="B62" s="114">
        <v>84</v>
      </c>
      <c r="C62" s="115">
        <v>214.18333333333334</v>
      </c>
      <c r="D62" s="126">
        <v>126.1652</v>
      </c>
      <c r="E62" s="114"/>
      <c r="F62" s="115"/>
      <c r="G62" s="115"/>
      <c r="H62" s="158" t="str">
        <f t="shared" si="15"/>
        <v xml:space="preserve"> </v>
      </c>
      <c r="I62" s="116">
        <v>1040.5035200000002</v>
      </c>
      <c r="J62" s="117">
        <v>0</v>
      </c>
      <c r="K62" s="117">
        <f t="shared" ref="K62:K73" si="16">IF(AND(ISBLANK(I62),ISBLANK(J62))=TRUE,"",I62+J62)</f>
        <v>1040.5035200000002</v>
      </c>
      <c r="L62" s="116"/>
      <c r="M62" s="117">
        <v>1450.335</v>
      </c>
      <c r="N62" s="117">
        <v>0</v>
      </c>
      <c r="O62" s="103">
        <f t="shared" ref="O62:O73" si="17">IF(AND(ISBLANK(L62),ISBLANK(M62),ISBLANK(N62))=TRUE,"",L62+M62+N62)</f>
        <v>1450.335</v>
      </c>
      <c r="P62" s="117">
        <v>2972</v>
      </c>
      <c r="Q62" s="158">
        <f t="shared" ref="Q62:Q73" si="18">IFERROR(O62/P62*100," ")</f>
        <v>48.799966352624494</v>
      </c>
    </row>
    <row r="63" spans="1:17" ht="24.75" customHeight="1" x14ac:dyDescent="0.3">
      <c r="A63" s="150" t="s">
        <v>24</v>
      </c>
      <c r="B63" s="159">
        <v>161</v>
      </c>
      <c r="C63" s="160">
        <v>449.58333333333331</v>
      </c>
      <c r="D63" s="161">
        <v>272.15089999999998</v>
      </c>
      <c r="E63" s="159"/>
      <c r="F63" s="160"/>
      <c r="G63" s="160"/>
      <c r="H63" s="162" t="str">
        <f t="shared" si="15"/>
        <v xml:space="preserve"> </v>
      </c>
      <c r="I63" s="163">
        <v>1998.0383999999999</v>
      </c>
      <c r="J63" s="164">
        <v>0</v>
      </c>
      <c r="K63" s="164">
        <f t="shared" si="16"/>
        <v>1998.0383999999999</v>
      </c>
      <c r="L63" s="163"/>
      <c r="M63" s="164">
        <v>3220.6550000000002</v>
      </c>
      <c r="N63" s="164">
        <v>0</v>
      </c>
      <c r="O63" s="165">
        <f t="shared" si="17"/>
        <v>3220.6550000000002</v>
      </c>
      <c r="P63" s="164">
        <v>6319</v>
      </c>
      <c r="Q63" s="162">
        <f t="shared" si="18"/>
        <v>50.967795537268557</v>
      </c>
    </row>
    <row r="64" spans="1:17" ht="24.75" customHeight="1" x14ac:dyDescent="0.3">
      <c r="A64" s="99" t="s">
        <v>25</v>
      </c>
      <c r="B64" s="114">
        <v>114</v>
      </c>
      <c r="C64" s="115">
        <v>385.75</v>
      </c>
      <c r="D64" s="126">
        <v>242.37260000000001</v>
      </c>
      <c r="E64" s="114"/>
      <c r="F64" s="115"/>
      <c r="G64" s="115"/>
      <c r="H64" s="158" t="str">
        <f t="shared" si="15"/>
        <v xml:space="preserve"> </v>
      </c>
      <c r="I64" s="116">
        <v>1162.1038099999998</v>
      </c>
      <c r="J64" s="117"/>
      <c r="K64" s="117">
        <f t="shared" si="16"/>
        <v>1162.1038099999998</v>
      </c>
      <c r="L64" s="116"/>
      <c r="M64" s="117">
        <v>2465.7249999999999</v>
      </c>
      <c r="N64" s="117"/>
      <c r="O64" s="103">
        <f t="shared" si="17"/>
        <v>2465.7249999999999</v>
      </c>
      <c r="P64" s="117">
        <v>3767</v>
      </c>
      <c r="Q64" s="158">
        <f t="shared" si="18"/>
        <v>65.455933103265195</v>
      </c>
    </row>
    <row r="65" spans="1:17" ht="24.75" customHeight="1" x14ac:dyDescent="0.3">
      <c r="A65" s="150" t="s">
        <v>26</v>
      </c>
      <c r="B65" s="159">
        <v>101</v>
      </c>
      <c r="C65" s="160">
        <v>326.16666666666669</v>
      </c>
      <c r="D65" s="161">
        <v>207.63650000000001</v>
      </c>
      <c r="E65" s="159">
        <v>0</v>
      </c>
      <c r="F65" s="160">
        <v>0</v>
      </c>
      <c r="G65" s="160">
        <v>0</v>
      </c>
      <c r="H65" s="162" t="str">
        <f t="shared" si="15"/>
        <v xml:space="preserve"> </v>
      </c>
      <c r="I65" s="163">
        <v>1200.5391850000001</v>
      </c>
      <c r="J65" s="164"/>
      <c r="K65" s="164">
        <f t="shared" si="16"/>
        <v>1200.5391850000001</v>
      </c>
      <c r="L65" s="163">
        <v>0</v>
      </c>
      <c r="M65" s="164">
        <v>2406.2049999999999</v>
      </c>
      <c r="N65" s="164">
        <v>0</v>
      </c>
      <c r="O65" s="165">
        <f t="shared" si="17"/>
        <v>2406.2049999999999</v>
      </c>
      <c r="P65" s="164">
        <v>4876</v>
      </c>
      <c r="Q65" s="162">
        <f t="shared" si="18"/>
        <v>49.347928630024605</v>
      </c>
    </row>
    <row r="66" spans="1:17" ht="24.75" customHeight="1" x14ac:dyDescent="0.3">
      <c r="A66" s="99" t="s">
        <v>27</v>
      </c>
      <c r="B66" s="114">
        <v>125</v>
      </c>
      <c r="C66" s="115">
        <v>461.58333333333331</v>
      </c>
      <c r="D66" s="126">
        <v>153.40283410000001</v>
      </c>
      <c r="E66" s="114"/>
      <c r="F66" s="115"/>
      <c r="G66" s="115"/>
      <c r="H66" s="158" t="str">
        <f t="shared" si="15"/>
        <v xml:space="preserve"> </v>
      </c>
      <c r="I66" s="116">
        <v>1573.6620049999999</v>
      </c>
      <c r="J66" s="117"/>
      <c r="K66" s="117">
        <f t="shared" si="16"/>
        <v>1573.6620049999999</v>
      </c>
      <c r="L66" s="116"/>
      <c r="M66" s="117">
        <v>3763</v>
      </c>
      <c r="N66" s="117"/>
      <c r="O66" s="103">
        <f t="shared" si="17"/>
        <v>3763</v>
      </c>
      <c r="P66" s="117">
        <v>6753</v>
      </c>
      <c r="Q66" s="158">
        <f t="shared" si="18"/>
        <v>55.72338220050348</v>
      </c>
    </row>
    <row r="67" spans="1:17" ht="24.75" customHeight="1" x14ac:dyDescent="0.3">
      <c r="A67" s="150" t="s">
        <v>28</v>
      </c>
      <c r="B67" s="159">
        <v>132</v>
      </c>
      <c r="C67" s="160">
        <v>482.2</v>
      </c>
      <c r="D67" s="161">
        <v>316.91001180000001</v>
      </c>
      <c r="E67" s="159"/>
      <c r="F67" s="160"/>
      <c r="G67" s="160"/>
      <c r="H67" s="162" t="str">
        <f t="shared" si="15"/>
        <v xml:space="preserve"> </v>
      </c>
      <c r="I67" s="163">
        <v>1637.3231499999999</v>
      </c>
      <c r="J67" s="164"/>
      <c r="K67" s="164">
        <f t="shared" si="16"/>
        <v>1637.3231499999999</v>
      </c>
      <c r="L67" s="163"/>
      <c r="M67" s="164">
        <v>4017.3358910000002</v>
      </c>
      <c r="N67" s="164">
        <v>0</v>
      </c>
      <c r="O67" s="165">
        <f t="shared" si="17"/>
        <v>4017.3358910000002</v>
      </c>
      <c r="P67" s="164">
        <v>7373</v>
      </c>
      <c r="Q67" s="162">
        <f t="shared" si="18"/>
        <v>54.487127234504271</v>
      </c>
    </row>
    <row r="68" spans="1:17" ht="24.75" customHeight="1" x14ac:dyDescent="0.3">
      <c r="A68" s="99" t="s">
        <v>29</v>
      </c>
      <c r="B68" s="114">
        <v>156</v>
      </c>
      <c r="C68" s="115">
        <v>545.51666666666665</v>
      </c>
      <c r="D68" s="126">
        <v>353.34220040000002</v>
      </c>
      <c r="E68" s="114"/>
      <c r="F68" s="115"/>
      <c r="G68" s="115"/>
      <c r="H68" s="158" t="str">
        <f t="shared" si="15"/>
        <v xml:space="preserve"> </v>
      </c>
      <c r="I68" s="116">
        <v>2165.6432500000001</v>
      </c>
      <c r="J68" s="117"/>
      <c r="K68" s="117">
        <f t="shared" si="16"/>
        <v>2165.6432500000001</v>
      </c>
      <c r="L68" s="116"/>
      <c r="M68" s="117">
        <v>5028</v>
      </c>
      <c r="N68" s="117">
        <v>0</v>
      </c>
      <c r="O68" s="103">
        <f t="shared" si="17"/>
        <v>5028</v>
      </c>
      <c r="P68" s="117">
        <v>7923</v>
      </c>
      <c r="Q68" s="158">
        <f t="shared" si="18"/>
        <v>63.460810299129122</v>
      </c>
    </row>
    <row r="69" spans="1:17" ht="24.75" customHeight="1" x14ac:dyDescent="0.3">
      <c r="A69" s="150" t="s">
        <v>30</v>
      </c>
      <c r="B69" s="159">
        <v>182</v>
      </c>
      <c r="C69" s="160">
        <v>602.91666666666663</v>
      </c>
      <c r="D69" s="161">
        <v>388.65509989999998</v>
      </c>
      <c r="E69" s="159"/>
      <c r="F69" s="160"/>
      <c r="G69" s="160"/>
      <c r="H69" s="162" t="str">
        <f t="shared" si="15"/>
        <v xml:space="preserve"> </v>
      </c>
      <c r="I69" s="163">
        <v>2481.2270250000001</v>
      </c>
      <c r="J69" s="164"/>
      <c r="K69" s="164">
        <f t="shared" si="16"/>
        <v>2481.2270250000001</v>
      </c>
      <c r="L69" s="163"/>
      <c r="M69" s="164">
        <v>5629.1383610000003</v>
      </c>
      <c r="N69" s="164"/>
      <c r="O69" s="165">
        <f t="shared" si="17"/>
        <v>5629.1383610000003</v>
      </c>
      <c r="P69" s="164">
        <v>8740</v>
      </c>
      <c r="Q69" s="162">
        <f t="shared" si="18"/>
        <v>64.406617402746008</v>
      </c>
    </row>
    <row r="70" spans="1:17" ht="24.75" customHeight="1" x14ac:dyDescent="0.3">
      <c r="A70" s="99" t="s">
        <v>31</v>
      </c>
      <c r="B70" s="114">
        <v>164</v>
      </c>
      <c r="C70" s="115">
        <v>557.65</v>
      </c>
      <c r="D70" s="126">
        <v>368.50799999999998</v>
      </c>
      <c r="E70" s="114"/>
      <c r="F70" s="115"/>
      <c r="G70" s="115"/>
      <c r="H70" s="158" t="str">
        <f t="shared" si="15"/>
        <v xml:space="preserve"> </v>
      </c>
      <c r="I70" s="116">
        <v>2418.758515</v>
      </c>
      <c r="J70" s="117"/>
      <c r="K70" s="117">
        <f t="shared" si="16"/>
        <v>2418.758515</v>
      </c>
      <c r="L70" s="116"/>
      <c r="M70" s="117">
        <v>5633.8639999999996</v>
      </c>
      <c r="N70" s="117"/>
      <c r="O70" s="103">
        <f t="shared" si="17"/>
        <v>5633.8639999999996</v>
      </c>
      <c r="P70" s="117">
        <v>8168</v>
      </c>
      <c r="Q70" s="158">
        <f t="shared" si="18"/>
        <v>68.974828599412348</v>
      </c>
    </row>
    <row r="71" spans="1:17" ht="24.75" customHeight="1" x14ac:dyDescent="0.3">
      <c r="A71" s="150" t="s">
        <v>32</v>
      </c>
      <c r="B71" s="159">
        <v>152</v>
      </c>
      <c r="C71" s="160">
        <v>488.68333333333334</v>
      </c>
      <c r="D71" s="161">
        <v>365.20499999999998</v>
      </c>
      <c r="E71" s="159">
        <v>256</v>
      </c>
      <c r="F71" s="160">
        <v>396</v>
      </c>
      <c r="G71" s="160">
        <v>565</v>
      </c>
      <c r="H71" s="162">
        <f t="shared" si="15"/>
        <v>70.088495575221245</v>
      </c>
      <c r="I71" s="163">
        <v>2041.6635799999999</v>
      </c>
      <c r="J71" s="164">
        <v>0</v>
      </c>
      <c r="K71" s="164">
        <f t="shared" si="16"/>
        <v>2041.6635799999999</v>
      </c>
      <c r="L71" s="163">
        <v>35.596800000000002</v>
      </c>
      <c r="M71" s="164">
        <v>4977.7787790000002</v>
      </c>
      <c r="N71" s="164">
        <v>0</v>
      </c>
      <c r="O71" s="165">
        <f t="shared" si="17"/>
        <v>5013.3755790000005</v>
      </c>
      <c r="P71" s="164">
        <v>8121.6420200000002</v>
      </c>
      <c r="Q71" s="162">
        <f t="shared" si="18"/>
        <v>61.728595851113376</v>
      </c>
    </row>
    <row r="72" spans="1:17" ht="24.75" customHeight="1" x14ac:dyDescent="0.3">
      <c r="A72" s="99" t="s">
        <v>33</v>
      </c>
      <c r="B72" s="132">
        <v>142</v>
      </c>
      <c r="C72" s="133">
        <v>546.79999999999995</v>
      </c>
      <c r="D72" s="134">
        <v>365.95800000000003</v>
      </c>
      <c r="E72" s="132">
        <v>0</v>
      </c>
      <c r="F72" s="133">
        <v>0</v>
      </c>
      <c r="G72" s="133">
        <v>0</v>
      </c>
      <c r="H72" s="135" t="str">
        <f t="shared" si="15"/>
        <v xml:space="preserve"> </v>
      </c>
      <c r="I72" s="136">
        <v>2043.1058</v>
      </c>
      <c r="J72" s="137">
        <v>0</v>
      </c>
      <c r="K72" s="137">
        <f t="shared" si="16"/>
        <v>2043.1058</v>
      </c>
      <c r="L72" s="136">
        <v>0</v>
      </c>
      <c r="M72" s="137">
        <v>3157.8710000000001</v>
      </c>
      <c r="N72" s="137">
        <v>0</v>
      </c>
      <c r="O72" s="135">
        <f t="shared" si="17"/>
        <v>3157.8710000000001</v>
      </c>
      <c r="P72" s="137">
        <v>8007.1809427778999</v>
      </c>
      <c r="Q72" s="135">
        <f t="shared" si="18"/>
        <v>39.437987258777397</v>
      </c>
    </row>
    <row r="73" spans="1:17" ht="24.75" customHeight="1" x14ac:dyDescent="0.3">
      <c r="A73" s="166" t="s">
        <v>34</v>
      </c>
      <c r="B73" s="167">
        <f t="shared" ref="B73:G73" si="19">SUM(B61:B72)</f>
        <v>1575</v>
      </c>
      <c r="C73" s="167">
        <f t="shared" si="19"/>
        <v>5579.3</v>
      </c>
      <c r="D73" s="167">
        <f t="shared" si="19"/>
        <v>3259.9730190199998</v>
      </c>
      <c r="E73" s="167">
        <f t="shared" si="19"/>
        <v>256</v>
      </c>
      <c r="F73" s="167">
        <f t="shared" si="19"/>
        <v>396</v>
      </c>
      <c r="G73" s="167">
        <f t="shared" si="19"/>
        <v>565</v>
      </c>
      <c r="H73" s="168">
        <f t="shared" si="15"/>
        <v>70.088495575221245</v>
      </c>
      <c r="I73" s="169">
        <f>SUM(I61:I72)</f>
        <v>20547.818555000002</v>
      </c>
      <c r="J73" s="169">
        <f>SUM(J61:J72)</f>
        <v>0</v>
      </c>
      <c r="K73" s="169">
        <f t="shared" si="16"/>
        <v>20547.818555000002</v>
      </c>
      <c r="L73" s="169">
        <f>SUM(L61:L72)</f>
        <v>35.596800000000002</v>
      </c>
      <c r="M73" s="169">
        <f>SUM(M61:M72)</f>
        <v>42891.981452</v>
      </c>
      <c r="N73" s="169">
        <f>SUM(N61:N72)</f>
        <v>0</v>
      </c>
      <c r="O73" s="169">
        <f t="shared" si="17"/>
        <v>42927.578251999999</v>
      </c>
      <c r="P73" s="169">
        <f>SUM(P61:P72)</f>
        <v>75402.1107687779</v>
      </c>
      <c r="Q73" s="168">
        <f t="shared" si="18"/>
        <v>56.931533897821886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2025-01-16T09:01:48Z</dcterms:created>
  <dcterms:modified xsi:type="dcterms:W3CDTF">2025-01-16T09:02:12Z</dcterms:modified>
</cp:coreProperties>
</file>