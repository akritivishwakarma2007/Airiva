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9630" windowHeight="5070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<sst xmlns="http://schemas.openxmlformats.org/spreadsheetml/2006/main" count="153" uniqueCount="42">
  <si>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</si>
  <si>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STAR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</si>
  <si>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</si>
  <si>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</si>
  <si>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</si>
  <si>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</si>
  <si>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</si>
  <si>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</si>
  <si>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</si>
  <si>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</si>
  <si>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</si>
  <si>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</si>
  <si>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</si>
  <si>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</si>
  <si>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</si>
  <si>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</si>
  <si>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</si>
  <si>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</si>
  <si>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</si>
  <si>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</si>
  <si>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</si>
  <si>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</si>
  <si>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</si>
  <si>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</si>
  <si>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</si>
  <si>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</si>
  <si>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</si>
  <si>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</si>
  <si>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</si>
  <si>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</si>
  <si>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</si>
  <si>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</si>
  <si>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</si>
  <si>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</si>
  <si>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</si>
  <si>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STAR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</si>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</sst>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Interface"/>
      <sheetName val="Data"/>
      <sheetName val="Sheet5"/>
      <sheetName val="Sheet2"/>
      <sheetName val="FRT ONLY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1009</v>
      </c>
      <c r="C4" s="12">
        <v>1340.75</v>
      </c>
      <c r="D4" s="13">
        <v>614.29700000000003</v>
      </c>
      <c r="E4" s="14">
        <v>46974</v>
      </c>
      <c r="F4" s="12">
        <v>29271.58</v>
      </c>
      <c r="G4" s="12">
        <v>38275.728000000003</v>
      </c>
      <c r="H4" s="15">
        <f>IFERROR(F4/G4*100," ")</f>
        <v>76.475566970274215</v>
      </c>
      <c r="I4" s="16"/>
      <c r="J4" s="17"/>
      <c r="K4" s="15" t="str">
        <f>IF(AND(ISBLANK(I4),ISBLANK(J4))=TRUE,"",I4+J4)</f>
        <v/>
      </c>
      <c r="L4" s="16">
        <v>2634.4422</v>
      </c>
      <c r="M4" s="17"/>
      <c r="N4" s="17"/>
      <c r="O4" s="15">
        <f>IF(AND(ISBLANK(L4),ISBLANK(M4),ISBLANK(N4))=TRUE,"",L4+M4+N4)</f>
        <v>2634.4422</v>
      </c>
      <c r="P4" s="17">
        <v>35195.592559999997</v>
      </c>
      <c r="Q4" s="15">
        <f>IFERROR(O4/P4*100," ")</f>
        <v>7.4851480210452808</v>
      </c>
    </row>
    <row r="5" spans="1:17" ht="23.1" customHeight="1" x14ac:dyDescent="0.3">
      <c r="A5" s="18" t="s">
        <v>23</v>
      </c>
      <c r="B5" s="19">
        <v>988</v>
      </c>
      <c r="C5" s="19">
        <v>1394.0833333333333</v>
      </c>
      <c r="D5" s="18">
        <v>604.85900000000004</v>
      </c>
      <c r="E5" s="20">
        <v>47163</v>
      </c>
      <c r="F5" s="19">
        <v>29669.570999999996</v>
      </c>
      <c r="G5" s="19">
        <v>38664.323999999993</v>
      </c>
      <c r="H5" s="21">
        <f t="shared" ref="H5:H16" si="0">IFERROR(F5/G5*100," ")</f>
        <v>76.736298299176269</v>
      </c>
      <c r="I5" s="22"/>
      <c r="J5" s="23"/>
      <c r="K5" s="21" t="str">
        <f t="shared" ref="K5:K16" si="1">IF(AND(ISBLANK(I5),ISBLANK(J5))=TRUE,"",I5+J5)</f>
        <v/>
      </c>
      <c r="L5" s="22">
        <v>2670.2613900000006</v>
      </c>
      <c r="M5" s="23"/>
      <c r="N5" s="23"/>
      <c r="O5" s="21">
        <f t="shared" ref="O5:O16" si="2">IF(AND(ISBLANK(L5),ISBLANK(M5),ISBLANK(N5))=TRUE,"",L5+M5+N5)</f>
        <v>2670.2613900000006</v>
      </c>
      <c r="P5" s="23">
        <v>35251.991999999998</v>
      </c>
      <c r="Q5" s="21">
        <f t="shared" ref="Q5:Q16" si="3">IFERROR(O5/P5*100," ")</f>
        <v>7.5747815612802833</v>
      </c>
    </row>
    <row r="6" spans="1:17" ht="23.1" customHeight="1" x14ac:dyDescent="0.3">
      <c r="A6" s="24" t="s">
        <v>24</v>
      </c>
      <c r="B6" s="25">
        <v>1066</v>
      </c>
      <c r="C6" s="25">
        <v>1523.75</v>
      </c>
      <c r="D6" s="24">
        <v>655.75099999999895</v>
      </c>
      <c r="E6" s="26">
        <v>43270</v>
      </c>
      <c r="F6" s="25">
        <v>27502.297999999988</v>
      </c>
      <c r="G6" s="25">
        <v>41939.212000000014</v>
      </c>
      <c r="H6" s="27">
        <f t="shared" si="0"/>
        <v>65.576573064844368</v>
      </c>
      <c r="I6" s="28"/>
      <c r="J6" s="29"/>
      <c r="K6" s="27" t="str">
        <f t="shared" si="1"/>
        <v/>
      </c>
      <c r="L6" s="28">
        <v>2475.2068200000003</v>
      </c>
      <c r="M6" s="29"/>
      <c r="N6" s="29"/>
      <c r="O6" s="27">
        <f t="shared" si="2"/>
        <v>2475.2068200000003</v>
      </c>
      <c r="P6" s="29">
        <v>35860.303800000002</v>
      </c>
      <c r="Q6" s="27">
        <f t="shared" si="3"/>
        <v>6.9023587580426469</v>
      </c>
    </row>
    <row r="7" spans="1:17" ht="23.1" customHeight="1" x14ac:dyDescent="0.3">
      <c r="A7" s="18" t="s">
        <v>25</v>
      </c>
      <c r="B7" s="19">
        <v>1171</v>
      </c>
      <c r="C7" s="19">
        <v>1621.8333333333333</v>
      </c>
      <c r="D7" s="18">
        <v>749.12</v>
      </c>
      <c r="E7" s="20">
        <v>52819</v>
      </c>
      <c r="F7" s="19">
        <v>34429.715000000004</v>
      </c>
      <c r="G7" s="19">
        <v>46250.890000000014</v>
      </c>
      <c r="H7" s="21">
        <f t="shared" si="0"/>
        <v>74.441194537013217</v>
      </c>
      <c r="I7" s="22"/>
      <c r="J7" s="23"/>
      <c r="K7" s="21" t="str">
        <f t="shared" si="1"/>
        <v/>
      </c>
      <c r="L7" s="22">
        <v>3098.6743500000011</v>
      </c>
      <c r="M7" s="23"/>
      <c r="N7" s="23"/>
      <c r="O7" s="21">
        <f t="shared" si="2"/>
        <v>3098.6743500000011</v>
      </c>
      <c r="P7" s="23">
        <v>4162.5800999999974</v>
      </c>
      <c r="Q7" s="21">
        <f t="shared" si="3"/>
        <v>74.441194537013317</v>
      </c>
    </row>
    <row r="8" spans="1:17" s="30" customFormat="1" ht="30" customHeight="1" x14ac:dyDescent="0.25">
      <c r="A8" s="24" t="s">
        <v>26</v>
      </c>
      <c r="B8" s="25">
        <v>1252</v>
      </c>
      <c r="C8" s="25">
        <v>1751.4166666666667</v>
      </c>
      <c r="D8" s="24">
        <v>792.46400000000006</v>
      </c>
      <c r="E8" s="26">
        <v>57676</v>
      </c>
      <c r="F8" s="25">
        <v>37329.768999999993</v>
      </c>
      <c r="G8" s="25">
        <v>49561.810000000034</v>
      </c>
      <c r="H8" s="27">
        <f t="shared" si="0"/>
        <v>75.319624121879258</v>
      </c>
      <c r="I8" s="28"/>
      <c r="J8" s="29"/>
      <c r="K8" s="27" t="str">
        <f t="shared" si="1"/>
        <v/>
      </c>
      <c r="L8" s="28">
        <v>3359.6792100000002</v>
      </c>
      <c r="M8" s="29"/>
      <c r="N8" s="29"/>
      <c r="O8" s="27">
        <f t="shared" si="2"/>
        <v>3359.6792100000002</v>
      </c>
      <c r="P8" s="29">
        <v>4460.5628999999999</v>
      </c>
      <c r="Q8" s="27">
        <f t="shared" si="3"/>
        <v>75.319624121879343</v>
      </c>
    </row>
    <row r="9" spans="1:17" ht="23.1" customHeight="1" x14ac:dyDescent="0.3">
      <c r="A9" s="18" t="s">
        <v>27</v>
      </c>
      <c r="B9" s="19">
        <v>1323</v>
      </c>
      <c r="C9" s="19">
        <v>1824.3333333333333</v>
      </c>
      <c r="D9" s="18">
        <v>836.42100000000005</v>
      </c>
      <c r="E9" s="20">
        <v>58670</v>
      </c>
      <c r="F9" s="19">
        <v>37953.997000000003</v>
      </c>
      <c r="G9" s="19">
        <v>53089.970000000008</v>
      </c>
      <c r="H9" s="21">
        <f t="shared" si="0"/>
        <v>71.489957519282825</v>
      </c>
      <c r="I9" s="22"/>
      <c r="J9" s="23"/>
      <c r="K9" s="21" t="str">
        <f t="shared" si="1"/>
        <v/>
      </c>
      <c r="L9" s="22">
        <v>3415.859730000001</v>
      </c>
      <c r="M9" s="23"/>
      <c r="N9" s="23"/>
      <c r="O9" s="21">
        <f t="shared" si="2"/>
        <v>3415.859730000001</v>
      </c>
      <c r="P9" s="23">
        <v>4778.0972999999967</v>
      </c>
      <c r="Q9" s="21">
        <f t="shared" si="3"/>
        <v>71.489957519282896</v>
      </c>
    </row>
    <row r="10" spans="1:17" ht="23.1" customHeight="1" x14ac:dyDescent="0.3">
      <c r="A10" s="24" t="s">
        <v>28</v>
      </c>
      <c r="B10" s="25">
        <v>1228</v>
      </c>
      <c r="C10" s="25">
        <v>1719.4166666666667</v>
      </c>
      <c r="D10" s="24">
        <v>745.99400000000003</v>
      </c>
      <c r="E10" s="26">
        <v>52432</v>
      </c>
      <c r="F10" s="25">
        <v>32345.330644515238</v>
      </c>
      <c r="G10" s="25">
        <v>46702.03320239843</v>
      </c>
      <c r="H10" s="27">
        <f t="shared" si="0"/>
        <v>69.258934625685868</v>
      </c>
      <c r="I10" s="28"/>
      <c r="J10" s="29"/>
      <c r="K10" s="27" t="str">
        <f t="shared" si="1"/>
        <v/>
      </c>
      <c r="L10" s="28">
        <v>2911.0797580063713</v>
      </c>
      <c r="M10" s="29"/>
      <c r="N10" s="29"/>
      <c r="O10" s="27">
        <f t="shared" si="2"/>
        <v>2911.0797580063713</v>
      </c>
      <c r="P10" s="29">
        <v>4203.1829882158563</v>
      </c>
      <c r="Q10" s="27">
        <f t="shared" si="3"/>
        <v>69.25893462568591</v>
      </c>
    </row>
    <row r="11" spans="1:17" ht="23.1" customHeight="1" x14ac:dyDescent="0.3">
      <c r="A11" s="18" t="s">
        <v>29</v>
      </c>
      <c r="B11" s="19">
        <v>1119</v>
      </c>
      <c r="C11" s="19">
        <v>1592.41</v>
      </c>
      <c r="D11" s="18">
        <v>699.94</v>
      </c>
      <c r="E11" s="20">
        <v>51412</v>
      </c>
      <c r="F11" s="19">
        <v>32197.531175248459</v>
      </c>
      <c r="G11" s="19">
        <v>43765.562446078431</v>
      </c>
      <c r="H11" s="21">
        <f t="shared" si="0"/>
        <v>73.568187807291579</v>
      </c>
      <c r="I11" s="22"/>
      <c r="J11" s="23"/>
      <c r="K11" s="21" t="str">
        <f t="shared" si="1"/>
        <v/>
      </c>
      <c r="L11" s="22">
        <v>2897.7778057723617</v>
      </c>
      <c r="M11" s="23"/>
      <c r="N11" s="23"/>
      <c r="O11" s="21">
        <f t="shared" si="2"/>
        <v>2897.7778057723617</v>
      </c>
      <c r="P11" s="23">
        <v>3938.9006201470579</v>
      </c>
      <c r="Q11" s="21">
        <f t="shared" si="3"/>
        <v>73.568187807291622</v>
      </c>
    </row>
    <row r="12" spans="1:17" ht="23.1" customHeight="1" x14ac:dyDescent="0.3">
      <c r="A12" s="24" t="s">
        <v>30</v>
      </c>
      <c r="B12" s="25">
        <v>1108</v>
      </c>
      <c r="C12" s="25">
        <v>1584.9166666666667</v>
      </c>
      <c r="D12" s="24">
        <v>703.505</v>
      </c>
      <c r="E12" s="26">
        <v>47677</v>
      </c>
      <c r="F12" s="25">
        <v>30294.261999999999</v>
      </c>
      <c r="G12" s="25">
        <v>45709.436000000023</v>
      </c>
      <c r="H12" s="27">
        <f t="shared" si="0"/>
        <v>66.275729151416314</v>
      </c>
      <c r="I12" s="28"/>
      <c r="J12" s="29"/>
      <c r="K12" s="27" t="str">
        <f t="shared" si="1"/>
        <v/>
      </c>
      <c r="L12" s="28">
        <v>2726.4835799999996</v>
      </c>
      <c r="M12" s="29"/>
      <c r="N12" s="29"/>
      <c r="O12" s="27">
        <f t="shared" si="2"/>
        <v>2726.4835799999996</v>
      </c>
      <c r="P12" s="29">
        <v>4113.8492399999996</v>
      </c>
      <c r="Q12" s="27">
        <f t="shared" si="3"/>
        <v>66.275729151416357</v>
      </c>
    </row>
    <row r="13" spans="1:17" ht="23.1" customHeight="1" x14ac:dyDescent="0.3">
      <c r="A13" s="18" t="s">
        <v>31</v>
      </c>
      <c r="B13" s="19">
        <v>1237</v>
      </c>
      <c r="C13" s="19">
        <v>1799.9166666666667</v>
      </c>
      <c r="D13" s="18">
        <v>770.24800000000005</v>
      </c>
      <c r="E13" s="20">
        <v>56524</v>
      </c>
      <c r="F13" s="19">
        <v>35784.090999999986</v>
      </c>
      <c r="G13" s="19">
        <v>49829.732000000004</v>
      </c>
      <c r="H13" s="21">
        <f t="shared" si="0"/>
        <v>71.812730198910117</v>
      </c>
      <c r="I13" s="22"/>
      <c r="J13" s="23"/>
      <c r="K13" s="21" t="str">
        <f t="shared" si="1"/>
        <v/>
      </c>
      <c r="L13" s="22">
        <v>3220.568189999999</v>
      </c>
      <c r="M13" s="23"/>
      <c r="N13" s="23"/>
      <c r="O13" s="21">
        <f t="shared" si="2"/>
        <v>3220.568189999999</v>
      </c>
      <c r="P13" s="23">
        <v>4484.6758799999998</v>
      </c>
      <c r="Q13" s="21">
        <f t="shared" si="3"/>
        <v>71.812730198910145</v>
      </c>
    </row>
    <row r="14" spans="1:17" ht="23.1" customHeight="1" x14ac:dyDescent="0.3">
      <c r="A14" s="24" t="s">
        <v>32</v>
      </c>
      <c r="B14" s="25">
        <v>1159</v>
      </c>
      <c r="C14" s="25">
        <v>1554.5833333333333</v>
      </c>
      <c r="D14" s="24">
        <v>674.44799999999998</v>
      </c>
      <c r="E14" s="26">
        <v>56913</v>
      </c>
      <c r="F14" s="25">
        <v>34157</v>
      </c>
      <c r="G14" s="25">
        <v>46505</v>
      </c>
      <c r="H14" s="27">
        <f t="shared" si="0"/>
        <v>73.448016342328785</v>
      </c>
      <c r="I14" s="28">
        <v>0</v>
      </c>
      <c r="J14" s="29">
        <v>0</v>
      </c>
      <c r="K14" s="27">
        <f t="shared" si="1"/>
        <v>0</v>
      </c>
      <c r="L14" s="28">
        <v>3073.8303899999996</v>
      </c>
      <c r="M14" s="29"/>
      <c r="N14" s="29"/>
      <c r="O14" s="27">
        <f t="shared" si="2"/>
        <v>3073.8303899999996</v>
      </c>
      <c r="P14" s="29">
        <v>4185.2172599999994</v>
      </c>
      <c r="Q14" s="27">
        <f t="shared" si="3"/>
        <v>73.44494201956914</v>
      </c>
    </row>
    <row r="15" spans="1:17" ht="23.1" customHeight="1" x14ac:dyDescent="0.3">
      <c r="A15" s="31" t="s">
        <v>33</v>
      </c>
      <c r="B15" s="32">
        <v>1108</v>
      </c>
      <c r="C15" s="32">
        <v>1463.4166666666667</v>
      </c>
      <c r="D15" s="33">
        <v>613.53899999999999</v>
      </c>
      <c r="E15" s="34">
        <v>59861</v>
      </c>
      <c r="F15" s="32">
        <v>33877</v>
      </c>
      <c r="G15" s="32">
        <v>43249</v>
      </c>
      <c r="H15" s="35">
        <f t="shared" si="0"/>
        <v>78.330134800804643</v>
      </c>
      <c r="I15" s="36"/>
      <c r="J15" s="37"/>
      <c r="K15" s="35" t="str">
        <f t="shared" si="1"/>
        <v/>
      </c>
      <c r="L15" s="36">
        <v>3049.03332</v>
      </c>
      <c r="M15" s="37"/>
      <c r="N15" s="37"/>
      <c r="O15" s="35">
        <f t="shared" si="2"/>
        <v>3049.03332</v>
      </c>
      <c r="P15" s="23">
        <v>3892.0744800000002</v>
      </c>
      <c r="Q15" s="21">
        <f t="shared" si="3"/>
        <v>78.339541950389389</v>
      </c>
    </row>
    <row r="16" spans="1:17" ht="23.1" customHeight="1" x14ac:dyDescent="0.3">
      <c r="A16" s="38" t="s">
        <v>34</v>
      </c>
      <c r="B16" s="39">
        <f t="shared" ref="B16:G16" si="4">SUM(B4:B15)</f>
        <v>13768</v>
      </c>
      <c r="C16" s="39">
        <f t="shared" si="4"/>
        <v>19170.826666666664</v>
      </c>
      <c r="D16" s="39">
        <f t="shared" si="4"/>
        <v>8460.5859999999993</v>
      </c>
      <c r="E16" s="39">
        <f t="shared" si="4"/>
        <v>631391</v>
      </c>
      <c r="F16" s="39">
        <f t="shared" si="4"/>
        <v>394812.14481976372</v>
      </c>
      <c r="G16" s="39">
        <f t="shared" si="4"/>
        <v>543542.69764847704</v>
      </c>
      <c r="H16" s="40">
        <f t="shared" si="0"/>
        <v>72.636822558344591</v>
      </c>
      <c r="I16" s="40">
        <f>SUM(I4:I15)</f>
        <v>0</v>
      </c>
      <c r="J16" s="40">
        <f>SUM(J4:J15)</f>
        <v>0</v>
      </c>
      <c r="K16" s="40">
        <f t="shared" si="1"/>
        <v>0</v>
      </c>
      <c r="L16" s="40">
        <f>SUM(L4:L15)</f>
        <v>35532.896743778736</v>
      </c>
      <c r="M16" s="40">
        <f>SUM(M4:M15)</f>
        <v>0</v>
      </c>
      <c r="N16" s="40">
        <f>SUM(N4:N15)</f>
        <v>0</v>
      </c>
      <c r="O16" s="40">
        <f t="shared" si="2"/>
        <v>35532.896743778736</v>
      </c>
      <c r="P16" s="41">
        <f>SUM(P4:P15)</f>
        <v>144527.02912836292</v>
      </c>
      <c r="Q16" s="41">
        <f t="shared" si="3"/>
        <v>24.585641148286449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5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5"/>
        <v xml:space="preserve"> </v>
      </c>
      <c r="I24" s="68"/>
      <c r="J24" s="68"/>
      <c r="K24" s="68" t="str">
        <f t="shared" ref="K24:K35" si="6">IF(AND(ISBLANK(I24),ISBLANK(J24))=TRUE,"",I24+J24)</f>
        <v/>
      </c>
      <c r="L24" s="69"/>
      <c r="M24" s="68"/>
      <c r="N24" s="68"/>
      <c r="O24" s="67" t="str">
        <f t="shared" ref="O24:O35" si="7">IF(AND(ISBLANK(L24),ISBLANK(M24),ISBLANK(N24))=TRUE,"",L24+M24+N24)</f>
        <v/>
      </c>
      <c r="P24" s="69"/>
      <c r="Q24" s="67" t="str">
        <f t="shared" ref="Q24:Q35" si="8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5"/>
        <v xml:space="preserve"> </v>
      </c>
      <c r="I25" s="72"/>
      <c r="J25" s="72"/>
      <c r="K25" s="72" t="str">
        <f t="shared" si="6"/>
        <v/>
      </c>
      <c r="L25" s="73"/>
      <c r="M25" s="72"/>
      <c r="N25" s="72"/>
      <c r="O25" s="60" t="str">
        <f t="shared" si="7"/>
        <v/>
      </c>
      <c r="P25" s="73"/>
      <c r="Q25" s="60" t="str">
        <f t="shared" si="8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5"/>
        <v xml:space="preserve"> </v>
      </c>
      <c r="I26" s="68"/>
      <c r="J26" s="68"/>
      <c r="K26" s="68" t="str">
        <f t="shared" si="6"/>
        <v/>
      </c>
      <c r="L26" s="69"/>
      <c r="M26" s="68"/>
      <c r="N26" s="68"/>
      <c r="O26" s="67" t="str">
        <f t="shared" si="7"/>
        <v/>
      </c>
      <c r="P26" s="69"/>
      <c r="Q26" s="67" t="str">
        <f t="shared" si="8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5"/>
        <v xml:space="preserve"> </v>
      </c>
      <c r="I27" s="72"/>
      <c r="J27" s="72"/>
      <c r="K27" s="72" t="str">
        <f t="shared" si="6"/>
        <v/>
      </c>
      <c r="L27" s="73"/>
      <c r="M27" s="72"/>
      <c r="N27" s="72"/>
      <c r="O27" s="60" t="str">
        <f t="shared" si="7"/>
        <v/>
      </c>
      <c r="P27" s="73"/>
      <c r="Q27" s="60" t="str">
        <f t="shared" si="8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5"/>
        <v xml:space="preserve"> </v>
      </c>
      <c r="I28" s="68"/>
      <c r="J28" s="68"/>
      <c r="K28" s="68" t="str">
        <f t="shared" si="6"/>
        <v/>
      </c>
      <c r="L28" s="69"/>
      <c r="M28" s="68"/>
      <c r="N28" s="68"/>
      <c r="O28" s="67" t="str">
        <f t="shared" si="7"/>
        <v/>
      </c>
      <c r="P28" s="69"/>
      <c r="Q28" s="67" t="str">
        <f t="shared" si="8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5"/>
        <v xml:space="preserve"> </v>
      </c>
      <c r="I29" s="72"/>
      <c r="J29" s="72"/>
      <c r="K29" s="72" t="str">
        <f t="shared" si="6"/>
        <v/>
      </c>
      <c r="L29" s="73"/>
      <c r="M29" s="72"/>
      <c r="N29" s="72"/>
      <c r="O29" s="60" t="str">
        <f t="shared" si="7"/>
        <v/>
      </c>
      <c r="P29" s="73"/>
      <c r="Q29" s="60" t="str">
        <f t="shared" si="8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5"/>
        <v xml:space="preserve"> </v>
      </c>
      <c r="I30" s="68"/>
      <c r="J30" s="68"/>
      <c r="K30" s="68" t="str">
        <f t="shared" si="6"/>
        <v/>
      </c>
      <c r="L30" s="69"/>
      <c r="M30" s="68"/>
      <c r="N30" s="68"/>
      <c r="O30" s="67" t="str">
        <f t="shared" si="7"/>
        <v/>
      </c>
      <c r="P30" s="69"/>
      <c r="Q30" s="67" t="str">
        <f t="shared" si="8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5"/>
        <v xml:space="preserve"> </v>
      </c>
      <c r="I31" s="72"/>
      <c r="J31" s="72"/>
      <c r="K31" s="72" t="str">
        <f t="shared" si="6"/>
        <v/>
      </c>
      <c r="L31" s="73"/>
      <c r="M31" s="72"/>
      <c r="N31" s="72"/>
      <c r="O31" s="60" t="str">
        <f t="shared" si="7"/>
        <v/>
      </c>
      <c r="P31" s="73"/>
      <c r="Q31" s="60" t="str">
        <f t="shared" si="8"/>
        <v xml:space="preserve"> </v>
      </c>
    </row>
    <row r="32" spans="1:17" ht="23.1" customHeight="1" x14ac:dyDescent="0.3">
      <c r="A32" s="64" t="s">
        <v>31</v>
      </c>
      <c r="B32" s="65"/>
      <c r="C32" s="64"/>
      <c r="D32" s="66"/>
      <c r="E32" s="65"/>
      <c r="F32" s="64"/>
      <c r="G32" s="64"/>
      <c r="H32" s="67" t="str">
        <f t="shared" si="5"/>
        <v xml:space="preserve"> </v>
      </c>
      <c r="I32" s="68"/>
      <c r="J32" s="68"/>
      <c r="K32" s="68" t="str">
        <f t="shared" si="6"/>
        <v/>
      </c>
      <c r="L32" s="69"/>
      <c r="M32" s="68"/>
      <c r="N32" s="68"/>
      <c r="O32" s="67" t="str">
        <f t="shared" si="7"/>
        <v/>
      </c>
      <c r="P32" s="69"/>
      <c r="Q32" s="67" t="str">
        <f t="shared" si="8"/>
        <v xml:space="preserve"> </v>
      </c>
    </row>
    <row r="33" spans="1:17" ht="23.1" customHeight="1" x14ac:dyDescent="0.3">
      <c r="A33" s="56" t="s">
        <v>32</v>
      </c>
      <c r="B33" s="70"/>
      <c r="C33" s="56"/>
      <c r="D33" s="71"/>
      <c r="E33" s="70"/>
      <c r="F33" s="56"/>
      <c r="G33" s="56"/>
      <c r="H33" s="60" t="str">
        <f t="shared" si="5"/>
        <v xml:space="preserve"> </v>
      </c>
      <c r="I33" s="72"/>
      <c r="J33" s="72"/>
      <c r="K33" s="72" t="str">
        <f t="shared" si="6"/>
        <v/>
      </c>
      <c r="L33" s="73"/>
      <c r="M33" s="72"/>
      <c r="N33" s="72"/>
      <c r="O33" s="60" t="str">
        <f t="shared" si="7"/>
        <v/>
      </c>
      <c r="P33" s="73"/>
      <c r="Q33" s="60" t="str">
        <f t="shared" si="8"/>
        <v xml:space="preserve"> 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0</v>
      </c>
      <c r="C35" s="81">
        <f t="shared" si="9"/>
        <v>0</v>
      </c>
      <c r="D35" s="81">
        <f t="shared" si="9"/>
        <v>0</v>
      </c>
      <c r="E35" s="81">
        <f t="shared" si="9"/>
        <v>0</v>
      </c>
      <c r="F35" s="81">
        <f t="shared" si="9"/>
        <v>0</v>
      </c>
      <c r="G35" s="81">
        <f t="shared" si="9"/>
        <v>0</v>
      </c>
      <c r="H35" s="82" t="str">
        <f t="shared" si="5"/>
        <v xml:space="preserve"> 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0</v>
      </c>
      <c r="M35" s="83">
        <f>SUM(M23:M34)</f>
        <v>0</v>
      </c>
      <c r="N35" s="83">
        <f>SUM(N23:N34)</f>
        <v>0</v>
      </c>
      <c r="O35" s="83">
        <f t="shared" si="7"/>
        <v>0</v>
      </c>
      <c r="P35" s="83">
        <f>SUM(P23:P34)</f>
        <v>0</v>
      </c>
      <c r="Q35" s="83" t="str">
        <f t="shared" si="8"/>
        <v xml:space="preserve"> 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0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0"/>
        <v xml:space="preserve"> </v>
      </c>
      <c r="I43" s="104"/>
      <c r="J43" s="105"/>
      <c r="K43" s="103" t="str">
        <f t="shared" ref="K43:K54" si="11">IF(AND(ISBLANK(I43),ISBLANK(J43))=TRUE,"",I43+J43)</f>
        <v/>
      </c>
      <c r="L43" s="104"/>
      <c r="M43" s="105"/>
      <c r="N43" s="105"/>
      <c r="O43" s="103" t="str">
        <f t="shared" ref="O43:O54" si="12">IF(AND(ISBLANK(L43),ISBLANK(M43),ISBLANK(N43))=TRUE,"",L43+M43+N43)</f>
        <v/>
      </c>
      <c r="P43" s="104"/>
      <c r="Q43" s="103" t="str">
        <f t="shared" ref="Q43:Q54" si="13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0"/>
        <v xml:space="preserve"> </v>
      </c>
      <c r="I44" s="110"/>
      <c r="J44" s="111"/>
      <c r="K44" s="109" t="str">
        <f t="shared" si="11"/>
        <v/>
      </c>
      <c r="L44" s="110"/>
      <c r="M44" s="111"/>
      <c r="N44" s="111"/>
      <c r="O44" s="109" t="str">
        <f t="shared" si="12"/>
        <v/>
      </c>
      <c r="P44" s="110"/>
      <c r="Q44" s="109" t="str">
        <f t="shared" si="13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0"/>
        <v xml:space="preserve"> </v>
      </c>
      <c r="I45" s="104"/>
      <c r="J45" s="105"/>
      <c r="K45" s="103" t="str">
        <f t="shared" si="11"/>
        <v/>
      </c>
      <c r="L45" s="104"/>
      <c r="M45" s="105"/>
      <c r="N45" s="105"/>
      <c r="O45" s="103" t="str">
        <f t="shared" si="12"/>
        <v/>
      </c>
      <c r="P45" s="104"/>
      <c r="Q45" s="103" t="str">
        <f t="shared" si="13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0"/>
        <v xml:space="preserve"> </v>
      </c>
      <c r="I46" s="110"/>
      <c r="J46" s="111"/>
      <c r="K46" s="109" t="str">
        <f t="shared" si="11"/>
        <v/>
      </c>
      <c r="L46" s="110"/>
      <c r="M46" s="111"/>
      <c r="N46" s="111"/>
      <c r="O46" s="109" t="str">
        <f t="shared" si="12"/>
        <v/>
      </c>
      <c r="P46" s="110"/>
      <c r="Q46" s="109" t="str">
        <f t="shared" si="13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0"/>
        <v xml:space="preserve"> </v>
      </c>
      <c r="I47" s="116"/>
      <c r="J47" s="117"/>
      <c r="K47" s="103" t="str">
        <f t="shared" si="11"/>
        <v/>
      </c>
      <c r="L47" s="116"/>
      <c r="M47" s="117"/>
      <c r="N47" s="117"/>
      <c r="O47" s="103" t="str">
        <f t="shared" si="12"/>
        <v/>
      </c>
      <c r="P47" s="116"/>
      <c r="Q47" s="103" t="str">
        <f t="shared" si="13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0"/>
        <v xml:space="preserve"> </v>
      </c>
      <c r="I50" s="130"/>
      <c r="J50" s="131"/>
      <c r="K50" s="109" t="str">
        <f t="shared" si="11"/>
        <v/>
      </c>
      <c r="L50" s="130"/>
      <c r="M50" s="131"/>
      <c r="N50" s="131"/>
      <c r="O50" s="109" t="str">
        <f t="shared" si="12"/>
        <v/>
      </c>
      <c r="P50" s="130"/>
      <c r="Q50" s="109" t="str">
        <f t="shared" si="13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0</v>
      </c>
      <c r="C54" s="139">
        <f t="shared" si="14"/>
        <v>0</v>
      </c>
      <c r="D54" s="139">
        <f t="shared" si="14"/>
        <v>0</v>
      </c>
      <c r="E54" s="139">
        <f t="shared" si="14"/>
        <v>0</v>
      </c>
      <c r="F54" s="139">
        <f t="shared" si="14"/>
        <v>0</v>
      </c>
      <c r="G54" s="139">
        <f t="shared" si="14"/>
        <v>0</v>
      </c>
      <c r="H54" s="140" t="str">
        <f t="shared" si="10"/>
        <v xml:space="preserve"> 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0</v>
      </c>
      <c r="M54" s="140">
        <f>SUM(M42:M53)</f>
        <v>0</v>
      </c>
      <c r="N54" s="140">
        <f>SUM(N42:N53)</f>
        <v>0</v>
      </c>
      <c r="O54" s="140">
        <f t="shared" si="12"/>
        <v>0</v>
      </c>
      <c r="P54" s="141">
        <f>SUM(P42:P53)</f>
        <v>0</v>
      </c>
      <c r="Q54" s="140" t="str">
        <f t="shared" si="13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2025-01-16T09:05:19Z</dcterms:created>
  <dcterms:modified xsi:type="dcterms:W3CDTF">2025-01-16T09:05:34Z</dcterms:modified>
</cp:coreProperties>
</file>