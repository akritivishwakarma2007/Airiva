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N73" i="1"/>
  <c r="M73" i="1"/>
  <c r="L73" i="1"/>
  <c r="K73" i="1"/>
  <c r="J73" i="1"/>
  <c r="I73" i="1"/>
  <c r="G73" i="1"/>
  <c r="F73" i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H73" i="1" l="1"/>
  <c r="Q73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<sst xmlns="http://schemas.openxmlformats.org/spreadsheetml/2006/main" count="157" uniqueCount="44">
  <si>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</si>
  <si>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</si>
  <si>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</si>
  <si>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</si>
  <si>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</si>
  <si>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</si>
  <si>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</si>
  <si>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</si>
  <si>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</si>
  <si>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</si>
  <si>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</si>
  <si>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</si>
  <si>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</si>
  <si>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</si>
  <si>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</si>
  <si>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</si>
  <si>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</si>
  <si>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</si>
  <si>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</si>
  <si>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</si>
  <si>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</si>
  <si>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</si>
  <si>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</si>
  <si>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</si>
  <si>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</si>
  <si>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</si>
  <si>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</si>
  <si>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</si>
  <si>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</si>
  <si>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</si>
  <si>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</si>
  <si>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</si>
  <si>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</si>
  <si>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</si>
  <si>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</si>
  <si>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</si>
  <si>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</si>
  <si>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</si>
  <si>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</si>
  <si>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</si>
  <si>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</si>
  <si>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BLUEDART</t>
  </si>
  <si>
    <t>2026</t>
  </si>
  <si>
    <t>SOURCE:- ICAO ATR FORM A FURNISHED BY BLUEDART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</si>
</sst>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B62" sqref="B62:Q68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566</v>
      </c>
      <c r="C4" s="21">
        <v>786.25</v>
      </c>
      <c r="D4" s="22">
        <v>546</v>
      </c>
      <c r="E4" s="23"/>
      <c r="F4" s="21"/>
      <c r="G4" s="21"/>
      <c r="H4" s="25"/>
      <c r="I4" s="26">
        <v>10231.954</v>
      </c>
      <c r="J4" s="27">
        <v>0</v>
      </c>
      <c r="K4" s="25">
        <v>10231.954</v>
      </c>
      <c r="L4" s="26">
        <v>0</v>
      </c>
      <c r="M4" s="27">
        <v>10164</v>
      </c>
      <c r="N4" s="27">
        <v>0</v>
      </c>
      <c r="O4" s="25">
        <v>10164</v>
      </c>
      <c r="P4" s="27">
        <v>16152</v>
      </c>
      <c r="Q4" s="25">
        <v>62.93</v>
      </c>
    </row>
    <row r="5" spans="1:17" ht="23.1" customHeight="1" x14ac:dyDescent="0.25">
      <c r="A5" s="43" t="s">
        <v>20</v>
      </c>
      <c r="B5" s="64">
        <v>572</v>
      </c>
      <c r="C5" s="64">
        <v>806.08330000000001</v>
      </c>
      <c r="D5" s="53">
        <v>564</v>
      </c>
      <c r="E5" s="75"/>
      <c r="F5" s="64"/>
      <c r="G5" s="64"/>
      <c r="H5" s="84"/>
      <c r="I5" s="93">
        <v>10291.477999999999</v>
      </c>
      <c r="J5" s="102">
        <v>0</v>
      </c>
      <c r="K5" s="84">
        <v>10291.477999999999</v>
      </c>
      <c r="L5" s="93">
        <v>0</v>
      </c>
      <c r="M5" s="102">
        <v>10365</v>
      </c>
      <c r="N5" s="102">
        <v>0</v>
      </c>
      <c r="O5" s="84">
        <v>10365</v>
      </c>
      <c r="P5" s="102">
        <v>16669</v>
      </c>
      <c r="Q5" s="84">
        <v>62.18</v>
      </c>
    </row>
    <row r="6" spans="1:17" ht="23.1" customHeight="1" x14ac:dyDescent="0.25">
      <c r="A6" s="45" t="s">
        <v>21</v>
      </c>
      <c r="B6" s="29">
        <v>610</v>
      </c>
      <c r="C6" s="29">
        <v>848.65</v>
      </c>
      <c r="D6" s="28">
        <v>602</v>
      </c>
      <c r="E6" s="30"/>
      <c r="F6" s="29"/>
      <c r="G6" s="29"/>
      <c r="H6" s="31"/>
      <c r="I6" s="32">
        <v>11210.423000000001</v>
      </c>
      <c r="J6" s="33">
        <v>0</v>
      </c>
      <c r="K6" s="31">
        <v>11210.423000000001</v>
      </c>
      <c r="L6" s="32">
        <v>0</v>
      </c>
      <c r="M6" s="33">
        <v>11345</v>
      </c>
      <c r="N6" s="33">
        <v>0</v>
      </c>
      <c r="O6" s="31">
        <v>11345</v>
      </c>
      <c r="P6" s="33">
        <v>18019</v>
      </c>
      <c r="Q6" s="31">
        <v>62.96</v>
      </c>
    </row>
    <row r="7" spans="1:17" ht="23.1" customHeight="1" x14ac:dyDescent="0.25">
      <c r="A7" s="43" t="s">
        <v>22</v>
      </c>
      <c r="B7" s="64">
        <v>556</v>
      </c>
      <c r="C7" s="64">
        <v>754.63329999999996</v>
      </c>
      <c r="D7" s="53">
        <v>529.83730000000003</v>
      </c>
      <c r="E7" s="75"/>
      <c r="F7" s="64"/>
      <c r="G7" s="64"/>
      <c r="H7" s="84"/>
      <c r="I7" s="93">
        <v>10101.138000000001</v>
      </c>
      <c r="J7" s="102">
        <v>0</v>
      </c>
      <c r="K7" s="84">
        <v>10101.138000000001</v>
      </c>
      <c r="L7" s="93">
        <v>0</v>
      </c>
      <c r="M7" s="102">
        <v>9966.44</v>
      </c>
      <c r="N7" s="102">
        <v>0</v>
      </c>
      <c r="O7" s="84">
        <v>9966.44</v>
      </c>
      <c r="P7" s="102">
        <v>16086.136</v>
      </c>
      <c r="Q7" s="84">
        <v>61.96</v>
      </c>
    </row>
    <row r="8" spans="1:17" ht="30" customHeight="1" x14ac:dyDescent="0.25">
      <c r="A8" s="45" t="s">
        <v>23</v>
      </c>
      <c r="B8" s="29">
        <v>551</v>
      </c>
      <c r="C8" s="29">
        <v>727.85</v>
      </c>
      <c r="D8" s="28">
        <v>520.697</v>
      </c>
      <c r="E8" s="30"/>
      <c r="F8" s="29"/>
      <c r="G8" s="29"/>
      <c r="H8" s="31"/>
      <c r="I8" s="32">
        <v>9952.3530000000101</v>
      </c>
      <c r="J8" s="33">
        <v>0</v>
      </c>
      <c r="K8" s="31">
        <v>9952.3530000000101</v>
      </c>
      <c r="L8" s="32">
        <v>0</v>
      </c>
      <c r="M8" s="33">
        <v>9765.4639999999999</v>
      </c>
      <c r="N8" s="33">
        <v>0</v>
      </c>
      <c r="O8" s="31">
        <v>9765.4639999999999</v>
      </c>
      <c r="P8" s="33">
        <v>15777.978999999999</v>
      </c>
      <c r="Q8" s="31">
        <v>61.89</v>
      </c>
    </row>
    <row r="9" spans="1:17" ht="23.1" customHeight="1" x14ac:dyDescent="0.25">
      <c r="A9" s="43" t="s">
        <v>39</v>
      </c>
      <c r="B9" s="64">
        <v>475</v>
      </c>
      <c r="C9" s="64">
        <v>658.41666699999996</v>
      </c>
      <c r="D9" s="53">
        <v>440.702</v>
      </c>
      <c r="E9" s="75"/>
      <c r="F9" s="64"/>
      <c r="G9" s="64"/>
      <c r="H9" s="84"/>
      <c r="I9" s="93">
        <v>8843.8379999999997</v>
      </c>
      <c r="J9" s="102">
        <v>0</v>
      </c>
      <c r="K9" s="84">
        <v>8843.8379999999997</v>
      </c>
      <c r="L9" s="93">
        <v>0</v>
      </c>
      <c r="M9" s="102">
        <v>8381.2459999999992</v>
      </c>
      <c r="N9" s="102">
        <v>0</v>
      </c>
      <c r="O9" s="84">
        <v>8381.2459999999992</v>
      </c>
      <c r="P9" s="102">
        <v>13260.842000000001</v>
      </c>
      <c r="Q9" s="84">
        <v>63.2</v>
      </c>
    </row>
    <row r="10" spans="1:17" ht="23.1" customHeight="1" x14ac:dyDescent="0.25">
      <c r="A10" s="45" t="s">
        <v>24</v>
      </c>
      <c r="B10" s="29">
        <v>553</v>
      </c>
      <c r="C10" s="29">
        <v>737.05</v>
      </c>
      <c r="D10" s="28">
        <v>537.82470000000001</v>
      </c>
      <c r="E10" s="30"/>
      <c r="F10" s="29"/>
      <c r="G10" s="29"/>
      <c r="H10" s="31"/>
      <c r="I10" s="32">
        <v>10484.550999999999</v>
      </c>
      <c r="J10" s="33">
        <v>0</v>
      </c>
      <c r="K10" s="31">
        <v>10484.550999999999</v>
      </c>
      <c r="L10" s="32">
        <v>0</v>
      </c>
      <c r="M10" s="33">
        <v>10366.441000000001</v>
      </c>
      <c r="N10" s="33">
        <v>0</v>
      </c>
      <c r="O10" s="31">
        <v>10366.441000000001</v>
      </c>
      <c r="P10" s="33">
        <v>16120.388999999999</v>
      </c>
      <c r="Q10" s="31">
        <v>64.31</v>
      </c>
    </row>
    <row r="11" spans="1:17" ht="23.1" customHeight="1" x14ac:dyDescent="0.25">
      <c r="A11" s="43" t="s">
        <v>25</v>
      </c>
      <c r="B11" s="64">
        <v>499</v>
      </c>
      <c r="C11" s="64">
        <v>678.13333</v>
      </c>
      <c r="D11" s="53">
        <v>481.78505000000001</v>
      </c>
      <c r="E11" s="75"/>
      <c r="F11" s="64"/>
      <c r="G11" s="64"/>
      <c r="H11" s="84"/>
      <c r="I11" s="93">
        <v>9761.875</v>
      </c>
      <c r="J11" s="102">
        <v>0</v>
      </c>
      <c r="K11" s="84">
        <v>9761.875</v>
      </c>
      <c r="L11" s="93">
        <v>0</v>
      </c>
      <c r="M11" s="102">
        <v>9491.3639999999996</v>
      </c>
      <c r="N11" s="102">
        <v>0</v>
      </c>
      <c r="O11" s="84">
        <v>9491.3639999999996</v>
      </c>
      <c r="P11" s="102">
        <v>13982.977000000001</v>
      </c>
      <c r="Q11" s="84">
        <v>67.88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4382</v>
      </c>
      <c r="C16" s="36">
        <f t="shared" si="0"/>
        <v>5997.0665969999991</v>
      </c>
      <c r="D16" s="36">
        <f t="shared" si="0"/>
        <v>4222.846050000001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80877.610000000015</v>
      </c>
      <c r="J16" s="37">
        <f t="shared" si="1"/>
        <v>0</v>
      </c>
      <c r="K16" s="37">
        <f t="shared" si="1"/>
        <v>80877.610000000015</v>
      </c>
      <c r="L16" s="37">
        <f t="shared" si="1"/>
        <v>0</v>
      </c>
      <c r="M16" s="37">
        <f t="shared" si="1"/>
        <v>79844.955000000002</v>
      </c>
      <c r="N16" s="37">
        <f t="shared" si="1"/>
        <v>0</v>
      </c>
      <c r="O16" s="37">
        <f t="shared" si="1"/>
        <v>79844.955000000002</v>
      </c>
      <c r="P16" s="38">
        <f t="shared" si="1"/>
        <v>126068.32299999999</v>
      </c>
      <c r="Q16" s="38">
        <f>IFERROR(O16/P16*100,"")</f>
        <v>63.334668931861657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56</v>
      </c>
      <c r="C42" s="104">
        <v>97</v>
      </c>
      <c r="D42" s="105">
        <v>69</v>
      </c>
      <c r="E42" s="103"/>
      <c r="F42" s="104"/>
      <c r="G42" s="104"/>
      <c r="H42" s="106"/>
      <c r="I42" s="107">
        <v>927.78899999999999</v>
      </c>
      <c r="J42" s="108">
        <v>0</v>
      </c>
      <c r="K42" s="106">
        <v>927.78899999999999</v>
      </c>
      <c r="L42" s="107">
        <v>0</v>
      </c>
      <c r="M42" s="108">
        <v>1186</v>
      </c>
      <c r="N42" s="108">
        <v>0</v>
      </c>
      <c r="O42" s="106">
        <v>1186</v>
      </c>
      <c r="P42" s="107">
        <v>2074</v>
      </c>
      <c r="Q42" s="106">
        <v>57.18</v>
      </c>
    </row>
    <row r="43" spans="1:17" ht="25.5" customHeight="1" x14ac:dyDescent="0.25">
      <c r="A43" s="47" t="s">
        <v>20</v>
      </c>
      <c r="B43" s="63">
        <v>22</v>
      </c>
      <c r="C43" s="65">
        <v>33.833300000000001</v>
      </c>
      <c r="D43" s="66">
        <v>23</v>
      </c>
      <c r="E43" s="63"/>
      <c r="F43" s="65"/>
      <c r="G43" s="65"/>
      <c r="H43" s="67"/>
      <c r="I43" s="68">
        <v>353.75799999999998</v>
      </c>
      <c r="J43" s="69">
        <v>0</v>
      </c>
      <c r="K43" s="67">
        <v>353.75799999999998</v>
      </c>
      <c r="L43" s="68">
        <v>0</v>
      </c>
      <c r="M43" s="69">
        <v>381</v>
      </c>
      <c r="N43" s="69">
        <v>0</v>
      </c>
      <c r="O43" s="67">
        <v>381</v>
      </c>
      <c r="P43" s="68">
        <v>665</v>
      </c>
      <c r="Q43" s="67">
        <v>57.29</v>
      </c>
    </row>
    <row r="44" spans="1:17" ht="25.5" customHeight="1" x14ac:dyDescent="0.25">
      <c r="A44" s="46" t="s">
        <v>21</v>
      </c>
      <c r="B44" s="109">
        <v>58</v>
      </c>
      <c r="C44" s="110">
        <v>91.416600000000003</v>
      </c>
      <c r="D44" s="111">
        <v>64</v>
      </c>
      <c r="E44" s="109"/>
      <c r="F44" s="110"/>
      <c r="G44" s="110"/>
      <c r="H44" s="112"/>
      <c r="I44" s="113">
        <v>673.31</v>
      </c>
      <c r="J44" s="114">
        <v>0</v>
      </c>
      <c r="K44" s="112">
        <v>673.31</v>
      </c>
      <c r="L44" s="113">
        <v>0</v>
      </c>
      <c r="M44" s="114">
        <v>770</v>
      </c>
      <c r="N44" s="114">
        <v>0</v>
      </c>
      <c r="O44" s="112">
        <v>770</v>
      </c>
      <c r="P44" s="113">
        <v>1612</v>
      </c>
      <c r="Q44" s="112">
        <v>47.77</v>
      </c>
    </row>
    <row r="45" spans="1:17" ht="25.5" customHeight="1" x14ac:dyDescent="0.25">
      <c r="A45" s="47" t="s">
        <v>22</v>
      </c>
      <c r="B45" s="63">
        <v>91</v>
      </c>
      <c r="C45" s="70">
        <v>152.94999999999999</v>
      </c>
      <c r="D45" s="66">
        <v>106.1391</v>
      </c>
      <c r="E45" s="63"/>
      <c r="F45" s="65"/>
      <c r="G45" s="65"/>
      <c r="H45" s="67"/>
      <c r="I45" s="68">
        <v>1126.4580000000001</v>
      </c>
      <c r="J45" s="69">
        <v>0</v>
      </c>
      <c r="K45" s="67">
        <v>1126.4580000000001</v>
      </c>
      <c r="L45" s="68">
        <v>0</v>
      </c>
      <c r="M45" s="69">
        <v>1403.211</v>
      </c>
      <c r="N45" s="69">
        <v>0</v>
      </c>
      <c r="O45" s="67">
        <v>1403.211</v>
      </c>
      <c r="P45" s="68">
        <v>2440.6419999999998</v>
      </c>
      <c r="Q45" s="67">
        <v>57.49</v>
      </c>
    </row>
    <row r="46" spans="1:17" ht="25.5" customHeight="1" x14ac:dyDescent="0.25">
      <c r="A46" s="46" t="s">
        <v>23</v>
      </c>
      <c r="B46" s="109">
        <v>109</v>
      </c>
      <c r="C46" s="115">
        <v>179.53299999999999</v>
      </c>
      <c r="D46" s="111">
        <v>130.47540000000001</v>
      </c>
      <c r="E46" s="109"/>
      <c r="F46" s="110"/>
      <c r="G46" s="110"/>
      <c r="H46" s="112"/>
      <c r="I46" s="113">
        <v>1500.0989999999999</v>
      </c>
      <c r="J46" s="114">
        <v>0</v>
      </c>
      <c r="K46" s="112">
        <v>1500.0989999999999</v>
      </c>
      <c r="L46" s="113">
        <v>0</v>
      </c>
      <c r="M46" s="114">
        <v>1891.481</v>
      </c>
      <c r="N46" s="114">
        <v>0</v>
      </c>
      <c r="O46" s="112">
        <v>1891.481</v>
      </c>
      <c r="P46" s="113">
        <v>3259.0810000000001</v>
      </c>
      <c r="Q46" s="112">
        <v>58.04</v>
      </c>
    </row>
    <row r="47" spans="1:17" ht="25.5" customHeight="1" x14ac:dyDescent="0.25">
      <c r="A47" s="47" t="s">
        <v>39</v>
      </c>
      <c r="B47" s="71">
        <v>145</v>
      </c>
      <c r="C47" s="72">
        <v>232.41666699999999</v>
      </c>
      <c r="D47" s="66">
        <v>181.60599999999999</v>
      </c>
      <c r="E47" s="71"/>
      <c r="F47" s="72"/>
      <c r="G47" s="72"/>
      <c r="H47" s="67"/>
      <c r="I47" s="73">
        <v>2236.25</v>
      </c>
      <c r="J47" s="74">
        <v>0</v>
      </c>
      <c r="K47" s="67">
        <v>2236.25</v>
      </c>
      <c r="L47" s="73">
        <v>0</v>
      </c>
      <c r="M47" s="74">
        <v>2932.4</v>
      </c>
      <c r="N47" s="74">
        <v>0</v>
      </c>
      <c r="O47" s="67">
        <v>2932.4</v>
      </c>
      <c r="P47" s="73">
        <v>4896.9369999999999</v>
      </c>
      <c r="Q47" s="67">
        <v>59.88</v>
      </c>
    </row>
    <row r="48" spans="1:17" ht="25.5" customHeight="1" x14ac:dyDescent="0.25">
      <c r="A48" s="46" t="s">
        <v>40</v>
      </c>
      <c r="B48" s="116">
        <v>87</v>
      </c>
      <c r="C48" s="117">
        <v>144.25</v>
      </c>
      <c r="D48" s="118">
        <v>112.3965</v>
      </c>
      <c r="E48" s="116"/>
      <c r="F48" s="117"/>
      <c r="G48" s="117"/>
      <c r="H48" s="112"/>
      <c r="I48" s="119">
        <v>1244.8589999999999</v>
      </c>
      <c r="J48" s="120">
        <v>0</v>
      </c>
      <c r="K48" s="112">
        <v>1244.8589999999999</v>
      </c>
      <c r="L48" s="119">
        <v>0</v>
      </c>
      <c r="M48" s="120">
        <v>1635.79</v>
      </c>
      <c r="N48" s="120">
        <v>0</v>
      </c>
      <c r="O48" s="112">
        <v>1635.79</v>
      </c>
      <c r="P48" s="119">
        <v>2296.482</v>
      </c>
      <c r="Q48" s="112">
        <v>71.23</v>
      </c>
    </row>
    <row r="49" spans="1:17" ht="25.5" customHeight="1" x14ac:dyDescent="0.25">
      <c r="A49" s="47" t="s">
        <v>25</v>
      </c>
      <c r="B49" s="71">
        <v>84</v>
      </c>
      <c r="C49" s="72">
        <v>143.19999999999999</v>
      </c>
      <c r="D49" s="76">
        <v>106.5103</v>
      </c>
      <c r="E49" s="71"/>
      <c r="F49" s="72"/>
      <c r="G49" s="72"/>
      <c r="H49" s="67"/>
      <c r="I49" s="73">
        <v>1187.3699999999999</v>
      </c>
      <c r="J49" s="74">
        <v>0</v>
      </c>
      <c r="K49" s="67">
        <v>1187.3699999999999</v>
      </c>
      <c r="L49" s="73">
        <v>0</v>
      </c>
      <c r="M49" s="74">
        <v>1539.0360000000001</v>
      </c>
      <c r="N49" s="74">
        <v>0</v>
      </c>
      <c r="O49" s="67">
        <v>1539.0360000000001</v>
      </c>
      <c r="P49" s="73">
        <v>2233.0374000000002</v>
      </c>
      <c r="Q49" s="67">
        <v>68.92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652</v>
      </c>
      <c r="C54" s="123">
        <f t="shared" si="4"/>
        <v>1074.599567</v>
      </c>
      <c r="D54" s="123">
        <f t="shared" si="4"/>
        <v>793.12729999999999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9249.893</v>
      </c>
      <c r="J54" s="124">
        <f t="shared" si="5"/>
        <v>0</v>
      </c>
      <c r="K54" s="124">
        <f t="shared" si="5"/>
        <v>9249.893</v>
      </c>
      <c r="L54" s="124">
        <f t="shared" si="5"/>
        <v>0</v>
      </c>
      <c r="M54" s="124">
        <f t="shared" si="5"/>
        <v>11738.918000000001</v>
      </c>
      <c r="N54" s="124">
        <f t="shared" si="5"/>
        <v>0</v>
      </c>
      <c r="O54" s="124">
        <f t="shared" si="5"/>
        <v>11738.918000000001</v>
      </c>
      <c r="P54" s="125">
        <f t="shared" si="5"/>
        <v>19477.179400000001</v>
      </c>
      <c r="Q54" s="124">
        <f>IFERROR(O54/P54*100,"")</f>
        <v>60.27011282752779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2026-09-14T05:36:03Z</dcterms:modified>
</cp:coreProperties>
</file>