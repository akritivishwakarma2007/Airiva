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August 2026\August 2026 Monthly Data to be uploaded\Excel August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 iterate="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<sst xmlns="http://schemas.openxmlformats.org/spreadsheetml/2006/main" count="157" uniqueCount="44">
  <si>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</si>
  <si>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</si>
  <si>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</si>
  <si>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</si>
  <si>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</si>
  <si>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</si>
  <si>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</si>
  <si>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</si>
  <si>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</si>
  <si>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</si>
  <si>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</si>
  <si>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</si>
  <si>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</si>
  <si>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</si>
  <si>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</si>
  <si>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</si>
  <si>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</si>
  <si>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</si>
  <si>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</si>
  <si>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</si>
  <si>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</si>
  <si>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</si>
  <si>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</si>
  <si>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</si>
  <si>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</si>
  <si>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</si>
  <si>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</si>
  <si>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</si>
  <si>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</si>
  <si>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</si>
  <si>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</si>
  <si>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</si>
  <si>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</si>
  <si>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</si>
  <si>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</si>
  <si>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</si>
  <si>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</si>
  <si>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</si>
  <si>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</si>
  <si>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</si>
  <si>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</si>
  <si>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SPICEJET</t>
  </si>
  <si>
    <t>2026</t>
  </si>
  <si>
    <t>SOURCE:- ICAO ATR FORM A FURNISHED BY SPICEJET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</si>
</sst>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="70" zoomScaleNormal="85" zoomScaleSheetLayoutView="70" workbookViewId="0">
      <selection activeCell="G4" sqref="G4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4028</v>
      </c>
      <c r="C4" s="21">
        <v>6436.1666666666697</v>
      </c>
      <c r="D4" s="22">
        <v>3971.1840000000002</v>
      </c>
      <c r="E4" s="23">
        <v>591582</v>
      </c>
      <c r="F4" s="21">
        <v>604598.19299999997</v>
      </c>
      <c r="G4" s="21">
        <v>703894.81499999994</v>
      </c>
      <c r="H4" s="25">
        <v>85.89</v>
      </c>
      <c r="I4" s="26">
        <v>3104.8235800000002</v>
      </c>
      <c r="J4" s="27">
        <v>0</v>
      </c>
      <c r="K4" s="25">
        <v>3104.8235800000002</v>
      </c>
      <c r="L4" s="26">
        <v>45344.864475000002</v>
      </c>
      <c r="M4" s="27">
        <v>3550.3765895699999</v>
      </c>
      <c r="N4" s="27">
        <v>0</v>
      </c>
      <c r="O4" s="25">
        <v>48895.24106457</v>
      </c>
      <c r="P4" s="27">
        <v>62651.745999999999</v>
      </c>
      <c r="Q4" s="25">
        <v>78.040000000000006</v>
      </c>
    </row>
    <row r="5" spans="1:17" ht="23.1" customHeight="1" x14ac:dyDescent="0.25">
      <c r="A5" s="43" t="s">
        <v>20</v>
      </c>
      <c r="B5" s="64">
        <v>3691</v>
      </c>
      <c r="C5" s="64">
        <v>5977.9166666666697</v>
      </c>
      <c r="D5" s="53">
        <v>3725.8719999999998</v>
      </c>
      <c r="E5" s="75">
        <v>554895</v>
      </c>
      <c r="F5" s="64">
        <v>592014.48699999996</v>
      </c>
      <c r="G5" s="64">
        <v>665468.603</v>
      </c>
      <c r="H5" s="84">
        <v>88.96</v>
      </c>
      <c r="I5" s="93">
        <v>3461.14752</v>
      </c>
      <c r="J5" s="102">
        <v>0</v>
      </c>
      <c r="K5" s="84">
        <v>3461.14752</v>
      </c>
      <c r="L5" s="93">
        <v>44401.086524999999</v>
      </c>
      <c r="M5" s="102">
        <v>4062.2061687400001</v>
      </c>
      <c r="N5" s="102">
        <v>0</v>
      </c>
      <c r="O5" s="84">
        <v>48463.292693739997</v>
      </c>
      <c r="P5" s="102">
        <v>59755.103999999999</v>
      </c>
      <c r="Q5" s="84">
        <v>81.099999999999994</v>
      </c>
    </row>
    <row r="6" spans="1:17" ht="23.1" customHeight="1" x14ac:dyDescent="0.25">
      <c r="A6" s="45" t="s">
        <v>21</v>
      </c>
      <c r="B6" s="29">
        <v>3828</v>
      </c>
      <c r="C6" s="29">
        <v>6105.95</v>
      </c>
      <c r="D6" s="28">
        <v>3812.4479999999999</v>
      </c>
      <c r="E6" s="30">
        <v>540882</v>
      </c>
      <c r="F6" s="29">
        <v>568109.60600000003</v>
      </c>
      <c r="G6" s="29">
        <v>685778.00100000005</v>
      </c>
      <c r="H6" s="31">
        <v>82.84</v>
      </c>
      <c r="I6" s="32">
        <v>3359.5655199999901</v>
      </c>
      <c r="J6" s="33">
        <v>0</v>
      </c>
      <c r="K6" s="31">
        <v>3359.5655199999901</v>
      </c>
      <c r="L6" s="32">
        <v>42608.220450000001</v>
      </c>
      <c r="M6" s="33">
        <v>3848.5506936100001</v>
      </c>
      <c r="N6" s="33">
        <v>0</v>
      </c>
      <c r="O6" s="31">
        <v>46456.77114361</v>
      </c>
      <c r="P6" s="33">
        <v>62057.316500000001</v>
      </c>
      <c r="Q6" s="31">
        <v>74.86</v>
      </c>
    </row>
    <row r="7" spans="1:17" ht="23.1" customHeight="1" x14ac:dyDescent="0.25">
      <c r="A7" s="43" t="s">
        <v>22</v>
      </c>
      <c r="B7" s="64">
        <v>3422</v>
      </c>
      <c r="C7" s="64">
        <v>5526.0833333333303</v>
      </c>
      <c r="D7" s="53">
        <v>3469.6619999999998</v>
      </c>
      <c r="E7" s="75">
        <v>473750</v>
      </c>
      <c r="F7" s="64">
        <v>505680.23300000001</v>
      </c>
      <c r="G7" s="64">
        <v>626333.37899999996</v>
      </c>
      <c r="H7" s="84">
        <v>80.739999999999995</v>
      </c>
      <c r="I7" s="93">
        <v>2293.50981</v>
      </c>
      <c r="J7" s="102">
        <v>0</v>
      </c>
      <c r="K7" s="84">
        <v>2293.50981</v>
      </c>
      <c r="L7" s="93">
        <v>37926.017475000001</v>
      </c>
      <c r="M7" s="102">
        <v>2645.1465485399999</v>
      </c>
      <c r="N7" s="102">
        <v>0</v>
      </c>
      <c r="O7" s="84">
        <v>40571.164023539997</v>
      </c>
      <c r="P7" s="102">
        <v>56835.17</v>
      </c>
      <c r="Q7" s="84">
        <v>71.38</v>
      </c>
    </row>
    <row r="8" spans="1:17" ht="30" customHeight="1" x14ac:dyDescent="0.25">
      <c r="A8" s="45" t="s">
        <v>23</v>
      </c>
      <c r="B8" s="29">
        <v>2660</v>
      </c>
      <c r="C8" s="29">
        <v>4246.3500000000004</v>
      </c>
      <c r="D8" s="28">
        <v>2604.0639999999999</v>
      </c>
      <c r="E8" s="30">
        <v>386405</v>
      </c>
      <c r="F8" s="29">
        <v>402727.36099999998</v>
      </c>
      <c r="G8" s="29">
        <v>460657.62900000002</v>
      </c>
      <c r="H8" s="31">
        <v>87.42</v>
      </c>
      <c r="I8" s="32">
        <v>2021.1272300000001</v>
      </c>
      <c r="J8" s="33">
        <v>0</v>
      </c>
      <c r="K8" s="31">
        <v>2021.1272300000001</v>
      </c>
      <c r="L8" s="32">
        <v>30204.552075</v>
      </c>
      <c r="M8" s="33">
        <v>2289.6957359100002</v>
      </c>
      <c r="N8" s="33">
        <v>0</v>
      </c>
      <c r="O8" s="31">
        <v>32494.247810910001</v>
      </c>
      <c r="P8" s="33">
        <v>41728.150999999998</v>
      </c>
      <c r="Q8" s="31">
        <v>77.87</v>
      </c>
    </row>
    <row r="9" spans="1:17" ht="23.1" customHeight="1" x14ac:dyDescent="0.25">
      <c r="A9" s="43" t="s">
        <v>39</v>
      </c>
      <c r="B9" s="64">
        <v>1837</v>
      </c>
      <c r="C9" s="64">
        <v>2811.75</v>
      </c>
      <c r="D9" s="53">
        <v>1705.749</v>
      </c>
      <c r="E9" s="75">
        <v>262525</v>
      </c>
      <c r="F9" s="64">
        <v>257136.76500000001</v>
      </c>
      <c r="G9" s="64">
        <v>292892.61300000001</v>
      </c>
      <c r="H9" s="84">
        <v>87.79</v>
      </c>
      <c r="I9" s="93">
        <v>1209.1482900000001</v>
      </c>
      <c r="J9" s="102">
        <v>0</v>
      </c>
      <c r="K9" s="84">
        <v>1209.1482900000001</v>
      </c>
      <c r="L9" s="93">
        <v>19285.257375000001</v>
      </c>
      <c r="M9" s="102">
        <v>1357.8006330000001</v>
      </c>
      <c r="N9" s="102">
        <v>0</v>
      </c>
      <c r="O9" s="84">
        <v>20643.058008</v>
      </c>
      <c r="P9" s="102">
        <v>27411.381000000001</v>
      </c>
      <c r="Q9" s="84">
        <v>75.31</v>
      </c>
    </row>
    <row r="10" spans="1:17" ht="23.1" customHeight="1" x14ac:dyDescent="0.25">
      <c r="A10" s="45" t="s">
        <v>24</v>
      </c>
      <c r="B10" s="29">
        <v>1417</v>
      </c>
      <c r="C10" s="29">
        <v>2070.0666670000001</v>
      </c>
      <c r="D10" s="28">
        <v>1197.527</v>
      </c>
      <c r="E10" s="30">
        <v>187280</v>
      </c>
      <c r="F10" s="29">
        <v>164897.791</v>
      </c>
      <c r="G10" s="29">
        <v>196189.81599999999</v>
      </c>
      <c r="H10" s="31">
        <v>84.05</v>
      </c>
      <c r="I10" s="32">
        <v>994.26743999999997</v>
      </c>
      <c r="J10" s="33">
        <v>0</v>
      </c>
      <c r="K10" s="31">
        <v>994.26743999999997</v>
      </c>
      <c r="L10" s="32">
        <v>12367.334325</v>
      </c>
      <c r="M10" s="33">
        <v>1041.7423140000001</v>
      </c>
      <c r="N10" s="33">
        <v>0</v>
      </c>
      <c r="O10" s="31">
        <v>13409.076639000001</v>
      </c>
      <c r="P10" s="33">
        <v>18176.112000000001</v>
      </c>
      <c r="Q10" s="31">
        <v>73.77</v>
      </c>
    </row>
    <row r="11" spans="1:17" ht="23.1" customHeight="1" x14ac:dyDescent="0.25">
      <c r="A11" s="43" t="s">
        <v>25</v>
      </c>
      <c r="B11" s="64">
        <v>1153</v>
      </c>
      <c r="C11" s="64">
        <v>1685.8</v>
      </c>
      <c r="D11" s="53">
        <v>989.75400000000002</v>
      </c>
      <c r="E11" s="75">
        <v>139859</v>
      </c>
      <c r="F11" s="64">
        <v>126675.931</v>
      </c>
      <c r="G11" s="64">
        <v>158480.61600000001</v>
      </c>
      <c r="H11" s="84">
        <v>79.930000000000007</v>
      </c>
      <c r="I11" s="93">
        <v>733.64433999999903</v>
      </c>
      <c r="J11" s="102">
        <v>0</v>
      </c>
      <c r="K11" s="84">
        <v>733.64433999999903</v>
      </c>
      <c r="L11" s="93">
        <v>9500.6948250000005</v>
      </c>
      <c r="M11" s="102">
        <v>775.51496005000001</v>
      </c>
      <c r="N11" s="102">
        <v>0</v>
      </c>
      <c r="O11" s="84">
        <v>10276.209785049999</v>
      </c>
      <c r="P11" s="102">
        <v>14567.393</v>
      </c>
      <c r="Q11" s="84">
        <v>70.540000000000006</v>
      </c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22036</v>
      </c>
      <c r="C16" s="36">
        <f t="shared" si="0"/>
        <v>34860.083333666669</v>
      </c>
      <c r="D16" s="36">
        <f t="shared" si="0"/>
        <v>21476.260000000002</v>
      </c>
      <c r="E16" s="36">
        <f t="shared" si="0"/>
        <v>3137178</v>
      </c>
      <c r="F16" s="36">
        <f t="shared" si="0"/>
        <v>3221840.3670000001</v>
      </c>
      <c r="G16" s="36">
        <f t="shared" si="0"/>
        <v>3789695.4720000005</v>
      </c>
      <c r="H16" s="37">
        <f>IFERROR(F16/G16*100,"")</f>
        <v>85.015811713749216</v>
      </c>
      <c r="I16" s="37">
        <f t="shared" ref="I16:P16" si="1">IFERROR(SUM(I4:I15),"")</f>
        <v>17177.233729999989</v>
      </c>
      <c r="J16" s="37">
        <f t="shared" si="1"/>
        <v>0</v>
      </c>
      <c r="K16" s="37">
        <f t="shared" si="1"/>
        <v>17177.233729999989</v>
      </c>
      <c r="L16" s="37">
        <f t="shared" si="1"/>
        <v>241638.02752499998</v>
      </c>
      <c r="M16" s="37">
        <f t="shared" si="1"/>
        <v>19571.03364342</v>
      </c>
      <c r="N16" s="37">
        <f t="shared" si="1"/>
        <v>0</v>
      </c>
      <c r="O16" s="37">
        <f t="shared" si="1"/>
        <v>261209.06116842001</v>
      </c>
      <c r="P16" s="38">
        <f t="shared" si="1"/>
        <v>343182.37349999999</v>
      </c>
      <c r="Q16" s="38">
        <f>IFERROR(O16/P16*100,"")</f>
        <v>76.113775455434336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>
        <v>784</v>
      </c>
      <c r="C23" s="8">
        <v>2631.9</v>
      </c>
      <c r="D23" s="9">
        <v>1851.789</v>
      </c>
      <c r="E23" s="7">
        <v>132572</v>
      </c>
      <c r="F23" s="8">
        <v>312234.19099999999</v>
      </c>
      <c r="G23" s="8">
        <v>349369.179</v>
      </c>
      <c r="H23" s="10">
        <v>89.37</v>
      </c>
      <c r="I23" s="11">
        <v>563.75091999999995</v>
      </c>
      <c r="J23" s="11">
        <v>0</v>
      </c>
      <c r="K23" s="11">
        <v>563.75091999999995</v>
      </c>
      <c r="L23" s="12">
        <v>23417.564324999999</v>
      </c>
      <c r="M23" s="11">
        <v>1333.69220006</v>
      </c>
      <c r="N23" s="11">
        <v>0</v>
      </c>
      <c r="O23" s="14">
        <v>24751.256525059998</v>
      </c>
      <c r="P23" s="12">
        <v>32308.383999999998</v>
      </c>
      <c r="Q23" s="14">
        <v>76.61</v>
      </c>
    </row>
    <row r="24" spans="1:17" ht="23.1" customHeight="1" x14ac:dyDescent="0.25">
      <c r="A24" s="51" t="s">
        <v>20</v>
      </c>
      <c r="B24" s="51">
        <v>617</v>
      </c>
      <c r="C24" s="50">
        <v>1957.4833333333299</v>
      </c>
      <c r="D24" s="52">
        <v>1367.721</v>
      </c>
      <c r="E24" s="51">
        <v>100975</v>
      </c>
      <c r="F24" s="50">
        <v>222742.64300000001</v>
      </c>
      <c r="G24" s="50">
        <v>257674.59599999999</v>
      </c>
      <c r="H24" s="54">
        <v>86.44</v>
      </c>
      <c r="I24" s="55">
        <v>517.87953000000005</v>
      </c>
      <c r="J24" s="55">
        <v>0</v>
      </c>
      <c r="K24" s="55">
        <v>517.87953000000005</v>
      </c>
      <c r="L24" s="56">
        <v>16705.698225</v>
      </c>
      <c r="M24" s="55">
        <v>1172.7768455800001</v>
      </c>
      <c r="N24" s="55">
        <v>0</v>
      </c>
      <c r="O24" s="54">
        <v>17878.47507058</v>
      </c>
      <c r="P24" s="56">
        <v>24197.648000000001</v>
      </c>
      <c r="Q24" s="54">
        <v>73.89</v>
      </c>
    </row>
    <row r="25" spans="1:17" ht="23.1" customHeight="1" x14ac:dyDescent="0.25">
      <c r="A25" s="15" t="s">
        <v>21</v>
      </c>
      <c r="B25" s="15">
        <v>300</v>
      </c>
      <c r="C25" s="6">
        <v>895.95</v>
      </c>
      <c r="D25" s="16">
        <v>601.49699999999996</v>
      </c>
      <c r="E25" s="15">
        <v>38418</v>
      </c>
      <c r="F25" s="6">
        <v>77046.501000000004</v>
      </c>
      <c r="G25" s="6">
        <v>112929.067</v>
      </c>
      <c r="H25" s="10">
        <v>68.23</v>
      </c>
      <c r="I25" s="17">
        <v>248.70115000000001</v>
      </c>
      <c r="J25" s="17">
        <v>0</v>
      </c>
      <c r="K25" s="17">
        <v>248.70115000000001</v>
      </c>
      <c r="L25" s="18">
        <v>5778.4875750000001</v>
      </c>
      <c r="M25" s="17">
        <v>501.83809287999998</v>
      </c>
      <c r="N25" s="17">
        <v>0</v>
      </c>
      <c r="O25" s="10">
        <v>6280.3256678799999</v>
      </c>
      <c r="P25" s="18">
        <v>10050.236999999999</v>
      </c>
      <c r="Q25" s="10">
        <v>62.49</v>
      </c>
    </row>
    <row r="26" spans="1:17" ht="23.1" customHeight="1" x14ac:dyDescent="0.25">
      <c r="A26" s="51" t="s">
        <v>22</v>
      </c>
      <c r="B26" s="51">
        <v>297</v>
      </c>
      <c r="C26" s="50">
        <v>861.16666666666697</v>
      </c>
      <c r="D26" s="52">
        <v>593.68899999999996</v>
      </c>
      <c r="E26" s="51">
        <v>49002</v>
      </c>
      <c r="F26" s="50">
        <v>97781.119000000006</v>
      </c>
      <c r="G26" s="50">
        <v>111377.898</v>
      </c>
      <c r="H26" s="54">
        <v>87.79</v>
      </c>
      <c r="I26" s="55">
        <v>336.46596</v>
      </c>
      <c r="J26" s="55">
        <v>0</v>
      </c>
      <c r="K26" s="55">
        <v>336.46596</v>
      </c>
      <c r="L26" s="56">
        <v>7333.5839249999999</v>
      </c>
      <c r="M26" s="55">
        <v>675.24627083999997</v>
      </c>
      <c r="N26" s="55">
        <v>0</v>
      </c>
      <c r="O26" s="54">
        <v>8008.8301958399998</v>
      </c>
      <c r="P26" s="56">
        <v>10048.023999999999</v>
      </c>
      <c r="Q26" s="54">
        <v>79.709999999999994</v>
      </c>
    </row>
    <row r="27" spans="1:17" ht="30" customHeight="1" x14ac:dyDescent="0.25">
      <c r="A27" s="15" t="s">
        <v>23</v>
      </c>
      <c r="B27" s="15">
        <v>296</v>
      </c>
      <c r="C27" s="6">
        <v>866.3</v>
      </c>
      <c r="D27" s="16">
        <v>605.50599999999997</v>
      </c>
      <c r="E27" s="15">
        <v>43603</v>
      </c>
      <c r="F27" s="6">
        <v>89314.157999999996</v>
      </c>
      <c r="G27" s="6">
        <v>113783.3</v>
      </c>
      <c r="H27" s="10">
        <v>78.489999999999995</v>
      </c>
      <c r="I27" s="17">
        <v>334.57501999999999</v>
      </c>
      <c r="J27" s="17">
        <v>0</v>
      </c>
      <c r="K27" s="17">
        <v>334.57501999999999</v>
      </c>
      <c r="L27" s="18">
        <v>6698.56185</v>
      </c>
      <c r="M27" s="17">
        <v>687.21044488999996</v>
      </c>
      <c r="N27" s="17">
        <v>0</v>
      </c>
      <c r="O27" s="10">
        <v>7385.77229489</v>
      </c>
      <c r="P27" s="18">
        <v>10261.415999999999</v>
      </c>
      <c r="Q27" s="10">
        <v>71.98</v>
      </c>
    </row>
    <row r="28" spans="1:17" ht="23.1" customHeight="1" x14ac:dyDescent="0.25">
      <c r="A28" s="51" t="s">
        <v>39</v>
      </c>
      <c r="B28" s="51">
        <v>310</v>
      </c>
      <c r="C28" s="50">
        <v>916.88333299999999</v>
      </c>
      <c r="D28" s="52">
        <v>649.89200000000005</v>
      </c>
      <c r="E28" s="51">
        <v>45698</v>
      </c>
      <c r="F28" s="50">
        <v>96036.91</v>
      </c>
      <c r="G28" s="50">
        <v>122113.54399999999</v>
      </c>
      <c r="H28" s="54">
        <v>78.650000000000006</v>
      </c>
      <c r="I28" s="55">
        <v>218.65869000000001</v>
      </c>
      <c r="J28" s="55">
        <v>0</v>
      </c>
      <c r="K28" s="55">
        <v>218.65869000000001</v>
      </c>
      <c r="L28" s="56">
        <v>7202.7682500000001</v>
      </c>
      <c r="M28" s="55">
        <v>455.94677200000001</v>
      </c>
      <c r="N28" s="55">
        <v>0</v>
      </c>
      <c r="O28" s="54">
        <v>7658.7150220000003</v>
      </c>
      <c r="P28" s="56">
        <v>11508.415999999999</v>
      </c>
      <c r="Q28" s="54">
        <v>66.55</v>
      </c>
    </row>
    <row r="29" spans="1:17" ht="23.1" customHeight="1" x14ac:dyDescent="0.25">
      <c r="A29" s="15" t="s">
        <v>40</v>
      </c>
      <c r="B29" s="15">
        <v>430</v>
      </c>
      <c r="C29" s="6">
        <v>1333</v>
      </c>
      <c r="D29" s="16">
        <v>954.37300000000005</v>
      </c>
      <c r="E29" s="15">
        <v>62844</v>
      </c>
      <c r="F29" s="6">
        <v>139583.05300000001</v>
      </c>
      <c r="G29" s="6">
        <v>178543.89799999999</v>
      </c>
      <c r="H29" s="10">
        <v>78.180000000000007</v>
      </c>
      <c r="I29" s="17">
        <v>345.46735000000001</v>
      </c>
      <c r="J29" s="17">
        <v>0</v>
      </c>
      <c r="K29" s="17">
        <v>345.46735000000001</v>
      </c>
      <c r="L29" s="18">
        <v>10468.728975</v>
      </c>
      <c r="M29" s="17">
        <v>781.05668200000002</v>
      </c>
      <c r="N29" s="17">
        <v>0</v>
      </c>
      <c r="O29" s="10">
        <v>11249.785657</v>
      </c>
      <c r="P29" s="18">
        <v>16966.624</v>
      </c>
      <c r="Q29" s="10">
        <v>66.31</v>
      </c>
    </row>
    <row r="30" spans="1:17" ht="23.1" customHeight="1" x14ac:dyDescent="0.25">
      <c r="A30" s="51" t="s">
        <v>25</v>
      </c>
      <c r="B30" s="51">
        <v>543</v>
      </c>
      <c r="C30" s="50">
        <v>1721.2666666666701</v>
      </c>
      <c r="D30" s="52">
        <v>1209.6079999999999</v>
      </c>
      <c r="E30" s="51">
        <v>69422</v>
      </c>
      <c r="F30" s="50">
        <v>156060.51999999999</v>
      </c>
      <c r="G30" s="50">
        <v>225107.02</v>
      </c>
      <c r="H30" s="54">
        <v>69.33</v>
      </c>
      <c r="I30" s="55">
        <v>372.44767000000002</v>
      </c>
      <c r="J30" s="55">
        <v>0</v>
      </c>
      <c r="K30" s="55">
        <v>372.44767000000002</v>
      </c>
      <c r="L30" s="56">
        <v>11704.539000000001</v>
      </c>
      <c r="M30" s="55">
        <v>810.17806575999998</v>
      </c>
      <c r="N30" s="55">
        <v>0</v>
      </c>
      <c r="O30" s="54">
        <v>12514.71706576</v>
      </c>
      <c r="P30" s="56">
        <v>20304.666000000001</v>
      </c>
      <c r="Q30" s="54">
        <v>61.63</v>
      </c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3577</v>
      </c>
      <c r="C35" s="3">
        <f t="shared" si="2"/>
        <v>11183.949999666667</v>
      </c>
      <c r="D35" s="3">
        <f t="shared" si="2"/>
        <v>7834.0750000000007</v>
      </c>
      <c r="E35" s="3">
        <f t="shared" si="2"/>
        <v>542534</v>
      </c>
      <c r="F35" s="3">
        <f t="shared" si="2"/>
        <v>1190799.0950000002</v>
      </c>
      <c r="G35" s="3">
        <f t="shared" si="2"/>
        <v>1470898.5020000003</v>
      </c>
      <c r="H35" s="4">
        <f>IFERROR(F35/G35*100,"")</f>
        <v>80.957257987607903</v>
      </c>
      <c r="I35" s="5">
        <f t="shared" ref="I35:P35" si="3">IFERROR(SUM(I23:I34),"")</f>
        <v>2937.9462900000003</v>
      </c>
      <c r="J35" s="5">
        <f t="shared" si="3"/>
        <v>0</v>
      </c>
      <c r="K35" s="5">
        <f t="shared" si="3"/>
        <v>2937.9462900000003</v>
      </c>
      <c r="L35" s="5">
        <f t="shared" si="3"/>
        <v>89309.932125000007</v>
      </c>
      <c r="M35" s="5">
        <f t="shared" si="3"/>
        <v>6417.9453740100007</v>
      </c>
      <c r="N35" s="5">
        <f t="shared" si="3"/>
        <v>0</v>
      </c>
      <c r="O35" s="5">
        <f t="shared" si="3"/>
        <v>95727.877499010006</v>
      </c>
      <c r="P35" s="5">
        <f t="shared" si="3"/>
        <v>135645.41500000001</v>
      </c>
      <c r="Q35" s="5">
        <f>IFERROR(O35/P35*100,"")</f>
        <v>70.572143923191206</v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>
        <v>21</v>
      </c>
      <c r="C42" s="104">
        <v>26.816666666666698</v>
      </c>
      <c r="D42" s="105">
        <v>14.747</v>
      </c>
      <c r="E42" s="103">
        <v>1731</v>
      </c>
      <c r="F42" s="104">
        <v>1441.557</v>
      </c>
      <c r="G42" s="104">
        <v>2590.1729999999998</v>
      </c>
      <c r="H42" s="106">
        <v>55.65</v>
      </c>
      <c r="I42" s="107">
        <v>0</v>
      </c>
      <c r="J42" s="108">
        <v>0</v>
      </c>
      <c r="K42" s="106">
        <v>0</v>
      </c>
      <c r="L42" s="107">
        <v>108.116775</v>
      </c>
      <c r="M42" s="108">
        <v>0</v>
      </c>
      <c r="N42" s="108">
        <v>0</v>
      </c>
      <c r="O42" s="106">
        <v>108.116775</v>
      </c>
      <c r="P42" s="107">
        <v>224.065</v>
      </c>
      <c r="Q42" s="106">
        <v>48.25</v>
      </c>
    </row>
    <row r="43" spans="1:17" ht="25.5" customHeight="1" x14ac:dyDescent="0.25">
      <c r="A43" s="47" t="s">
        <v>20</v>
      </c>
      <c r="B43" s="63">
        <v>51</v>
      </c>
      <c r="C43" s="65">
        <v>90.0833333333333</v>
      </c>
      <c r="D43" s="66">
        <v>59.57</v>
      </c>
      <c r="E43" s="63">
        <v>3089</v>
      </c>
      <c r="F43" s="65">
        <v>3123.3249999999998</v>
      </c>
      <c r="G43" s="65">
        <v>11281.155000000001</v>
      </c>
      <c r="H43" s="67">
        <v>27.69</v>
      </c>
      <c r="I43" s="68">
        <v>17.098839999999999</v>
      </c>
      <c r="J43" s="69">
        <v>0</v>
      </c>
      <c r="K43" s="67">
        <v>17.098839999999999</v>
      </c>
      <c r="L43" s="68">
        <v>234.24937499999999</v>
      </c>
      <c r="M43" s="69">
        <v>25.27728196</v>
      </c>
      <c r="N43" s="69">
        <v>0</v>
      </c>
      <c r="O43" s="67">
        <v>259.52665696000003</v>
      </c>
      <c r="P43" s="68">
        <v>1021.867</v>
      </c>
      <c r="Q43" s="67">
        <v>25.4</v>
      </c>
    </row>
    <row r="44" spans="1:17" ht="25.5" customHeight="1" x14ac:dyDescent="0.25">
      <c r="A44" s="46" t="s">
        <v>21</v>
      </c>
      <c r="B44" s="109">
        <v>12</v>
      </c>
      <c r="C44" s="110">
        <v>21.183333333333302</v>
      </c>
      <c r="D44" s="111">
        <v>14.617000000000001</v>
      </c>
      <c r="E44" s="109">
        <v>1224</v>
      </c>
      <c r="F44" s="110">
        <v>1508.0540000000001</v>
      </c>
      <c r="G44" s="110">
        <v>2800.5129999999999</v>
      </c>
      <c r="H44" s="112">
        <v>53.85</v>
      </c>
      <c r="I44" s="113">
        <v>1.5338400000000001</v>
      </c>
      <c r="J44" s="114">
        <v>0</v>
      </c>
      <c r="K44" s="112">
        <v>1.5338400000000001</v>
      </c>
      <c r="L44" s="113">
        <v>113.10405</v>
      </c>
      <c r="M44" s="114">
        <v>2.0139319200000001</v>
      </c>
      <c r="N44" s="114">
        <v>0</v>
      </c>
      <c r="O44" s="112">
        <v>115.11798192000001</v>
      </c>
      <c r="P44" s="113">
        <v>266.40899999999999</v>
      </c>
      <c r="Q44" s="112">
        <v>43.21</v>
      </c>
    </row>
    <row r="45" spans="1:17" ht="25.5" customHeight="1" x14ac:dyDescent="0.25">
      <c r="A45" s="47" t="s">
        <v>22</v>
      </c>
      <c r="B45" s="63">
        <v>11</v>
      </c>
      <c r="C45" s="70">
        <v>16.066666666666698</v>
      </c>
      <c r="D45" s="66">
        <v>10.048</v>
      </c>
      <c r="E45" s="63">
        <v>1258</v>
      </c>
      <c r="F45" s="65">
        <v>1092.837</v>
      </c>
      <c r="G45" s="65">
        <v>1891.056</v>
      </c>
      <c r="H45" s="67">
        <v>57.79</v>
      </c>
      <c r="I45" s="68">
        <v>0.52539999999999998</v>
      </c>
      <c r="J45" s="69">
        <v>0</v>
      </c>
      <c r="K45" s="67">
        <v>0.52539999999999998</v>
      </c>
      <c r="L45" s="68">
        <v>81.962774999999993</v>
      </c>
      <c r="M45" s="69">
        <v>0.72084879999999996</v>
      </c>
      <c r="N45" s="69">
        <v>0</v>
      </c>
      <c r="O45" s="67">
        <v>82.683623800000007</v>
      </c>
      <c r="P45" s="68">
        <v>165.59200000000001</v>
      </c>
      <c r="Q45" s="67">
        <v>49.93</v>
      </c>
    </row>
    <row r="46" spans="1:17" ht="25.5" customHeight="1" x14ac:dyDescent="0.25">
      <c r="A46" s="46" t="s">
        <v>23</v>
      </c>
      <c r="B46" s="109">
        <v>10</v>
      </c>
      <c r="C46" s="115">
        <v>10.4333333333333</v>
      </c>
      <c r="D46" s="111">
        <v>5.7370000000000001</v>
      </c>
      <c r="E46" s="109">
        <v>812</v>
      </c>
      <c r="F46" s="110">
        <v>518.84500000000003</v>
      </c>
      <c r="G46" s="110">
        <v>1057.192</v>
      </c>
      <c r="H46" s="112">
        <v>49.08</v>
      </c>
      <c r="I46" s="113">
        <v>0</v>
      </c>
      <c r="J46" s="114">
        <v>0</v>
      </c>
      <c r="K46" s="112">
        <v>0</v>
      </c>
      <c r="L46" s="113">
        <v>38.913375000000002</v>
      </c>
      <c r="M46" s="114">
        <v>0</v>
      </c>
      <c r="N46" s="114">
        <v>0</v>
      </c>
      <c r="O46" s="112">
        <v>38.913375000000002</v>
      </c>
      <c r="P46" s="113">
        <v>93.531999999999996</v>
      </c>
      <c r="Q46" s="112">
        <v>41.6</v>
      </c>
    </row>
    <row r="47" spans="1:17" ht="25.5" customHeight="1" x14ac:dyDescent="0.25">
      <c r="A47" s="47" t="s">
        <v>39</v>
      </c>
      <c r="B47" s="71">
        <v>3</v>
      </c>
      <c r="C47" s="72">
        <v>6.3666669999999996</v>
      </c>
      <c r="D47" s="66">
        <v>3.6280000000000001</v>
      </c>
      <c r="E47" s="71">
        <v>424</v>
      </c>
      <c r="F47" s="72">
        <v>569.73199999999997</v>
      </c>
      <c r="G47" s="72">
        <v>611.64</v>
      </c>
      <c r="H47" s="67">
        <v>93.15</v>
      </c>
      <c r="I47" s="73">
        <v>0</v>
      </c>
      <c r="J47" s="74">
        <v>0</v>
      </c>
      <c r="K47" s="67">
        <v>0</v>
      </c>
      <c r="L47" s="73">
        <v>42.729900000000001</v>
      </c>
      <c r="M47" s="74">
        <v>0</v>
      </c>
      <c r="N47" s="74">
        <v>0</v>
      </c>
      <c r="O47" s="67">
        <v>42.729900000000001</v>
      </c>
      <c r="P47" s="73">
        <v>63.21</v>
      </c>
      <c r="Q47" s="67">
        <v>67.599999999999994</v>
      </c>
    </row>
    <row r="48" spans="1:17" ht="25.5" customHeight="1" x14ac:dyDescent="0.25">
      <c r="A48" s="46" t="s">
        <v>40</v>
      </c>
      <c r="B48" s="116">
        <v>5</v>
      </c>
      <c r="C48" s="117">
        <v>6.3166669999999998</v>
      </c>
      <c r="D48" s="118">
        <v>3.5179999999999998</v>
      </c>
      <c r="E48" s="116">
        <v>777</v>
      </c>
      <c r="F48" s="117">
        <v>552.99800000000005</v>
      </c>
      <c r="G48" s="117">
        <v>602.33399999999995</v>
      </c>
      <c r="H48" s="112">
        <v>91.81</v>
      </c>
      <c r="I48" s="119">
        <v>0</v>
      </c>
      <c r="J48" s="120">
        <v>0</v>
      </c>
      <c r="K48" s="112">
        <v>0</v>
      </c>
      <c r="L48" s="119">
        <v>41.474850000000004</v>
      </c>
      <c r="M48" s="120">
        <v>0</v>
      </c>
      <c r="N48" s="120">
        <v>0</v>
      </c>
      <c r="O48" s="112">
        <v>41.474850000000004</v>
      </c>
      <c r="P48" s="119">
        <v>62.46</v>
      </c>
      <c r="Q48" s="112">
        <v>66.400000000000006</v>
      </c>
    </row>
    <row r="49" spans="1:17" ht="25.5" customHeight="1" x14ac:dyDescent="0.25">
      <c r="A49" s="47" t="s">
        <v>25</v>
      </c>
      <c r="B49" s="71">
        <v>2</v>
      </c>
      <c r="C49" s="72">
        <v>1.43333333333333</v>
      </c>
      <c r="D49" s="76">
        <v>0.628</v>
      </c>
      <c r="E49" s="71">
        <v>355</v>
      </c>
      <c r="F49" s="72">
        <v>111.47</v>
      </c>
      <c r="G49" s="72">
        <v>125.914</v>
      </c>
      <c r="H49" s="67">
        <v>88.53</v>
      </c>
      <c r="I49" s="73">
        <v>0</v>
      </c>
      <c r="J49" s="74">
        <v>0</v>
      </c>
      <c r="K49" s="67">
        <v>0</v>
      </c>
      <c r="L49" s="73">
        <v>8.3602500000000006</v>
      </c>
      <c r="M49" s="74">
        <v>0</v>
      </c>
      <c r="N49" s="74">
        <v>0</v>
      </c>
      <c r="O49" s="67">
        <v>8.3602500000000006</v>
      </c>
      <c r="P49" s="73">
        <v>12.246</v>
      </c>
      <c r="Q49" s="67">
        <v>68.27</v>
      </c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115</v>
      </c>
      <c r="C54" s="123">
        <f t="shared" si="4"/>
        <v>178.70000066666665</v>
      </c>
      <c r="D54" s="123">
        <f t="shared" si="4"/>
        <v>112.49300000000001</v>
      </c>
      <c r="E54" s="123">
        <f t="shared" si="4"/>
        <v>9670</v>
      </c>
      <c r="F54" s="123">
        <f t="shared" si="4"/>
        <v>8918.8179999999975</v>
      </c>
      <c r="G54" s="123">
        <f t="shared" si="4"/>
        <v>20959.976999999999</v>
      </c>
      <c r="H54" s="124">
        <f>IFERROR(F54/G54*100,"")</f>
        <v>42.551659288557417</v>
      </c>
      <c r="I54" s="124">
        <f t="shared" ref="I54:P54" si="5">IFERROR(SUM(I42:I53),"")</f>
        <v>19.158080000000002</v>
      </c>
      <c r="J54" s="124">
        <f t="shared" si="5"/>
        <v>0</v>
      </c>
      <c r="K54" s="124">
        <f t="shared" si="5"/>
        <v>19.158080000000002</v>
      </c>
      <c r="L54" s="124">
        <f t="shared" si="5"/>
        <v>668.91134999999986</v>
      </c>
      <c r="M54" s="124">
        <f t="shared" si="5"/>
        <v>28.01206268</v>
      </c>
      <c r="N54" s="124">
        <f t="shared" si="5"/>
        <v>0</v>
      </c>
      <c r="O54" s="124">
        <f t="shared" si="5"/>
        <v>696.92341267999996</v>
      </c>
      <c r="P54" s="125">
        <f t="shared" si="5"/>
        <v>1909.3810000000001</v>
      </c>
      <c r="Q54" s="124">
        <f>IFERROR(O54/P54*100,"")</f>
        <v>36.499965836048432</v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>
        <v>11</v>
      </c>
      <c r="C62" s="72">
        <v>30.433333333333302</v>
      </c>
      <c r="D62" s="76">
        <v>22.492999999999999</v>
      </c>
      <c r="E62" s="71">
        <v>1421</v>
      </c>
      <c r="F62" s="72">
        <v>3029.9189999999999</v>
      </c>
      <c r="G62" s="72">
        <v>4244.8860000000004</v>
      </c>
      <c r="H62" s="67">
        <v>71.38</v>
      </c>
      <c r="I62" s="73">
        <v>0</v>
      </c>
      <c r="J62" s="74">
        <v>0</v>
      </c>
      <c r="K62" s="74">
        <v>0</v>
      </c>
      <c r="L62" s="73">
        <v>227.24392499999999</v>
      </c>
      <c r="M62" s="74">
        <v>0</v>
      </c>
      <c r="N62" s="74">
        <v>0</v>
      </c>
      <c r="O62" s="67">
        <v>227.24392499999999</v>
      </c>
      <c r="P62" s="74">
        <v>406.34399999999999</v>
      </c>
      <c r="Q62" s="67">
        <v>55.92</v>
      </c>
    </row>
    <row r="63" spans="1:17" ht="24.75" customHeight="1" x14ac:dyDescent="0.25">
      <c r="A63" s="48" t="s">
        <v>21</v>
      </c>
      <c r="B63" s="96">
        <v>14</v>
      </c>
      <c r="C63" s="97">
        <v>43.316666666666698</v>
      </c>
      <c r="D63" s="98">
        <v>29.744</v>
      </c>
      <c r="E63" s="96">
        <v>1537</v>
      </c>
      <c r="F63" s="97">
        <v>3315.6880000000001</v>
      </c>
      <c r="G63" s="97">
        <v>5591.1</v>
      </c>
      <c r="H63" s="99">
        <v>59.3</v>
      </c>
      <c r="I63" s="100">
        <v>0</v>
      </c>
      <c r="J63" s="101">
        <v>0</v>
      </c>
      <c r="K63" s="101">
        <v>0</v>
      </c>
      <c r="L63" s="100">
        <v>248.67660000000001</v>
      </c>
      <c r="M63" s="101">
        <v>0</v>
      </c>
      <c r="N63" s="101">
        <v>0</v>
      </c>
      <c r="O63" s="99">
        <v>248.67660000000001</v>
      </c>
      <c r="P63" s="101">
        <v>540.26800000000003</v>
      </c>
      <c r="Q63" s="99">
        <v>46.03</v>
      </c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>
        <v>4</v>
      </c>
      <c r="C67" s="97">
        <v>19.383333</v>
      </c>
      <c r="D67" s="98">
        <v>12.474</v>
      </c>
      <c r="E67" s="96">
        <v>732</v>
      </c>
      <c r="F67" s="97">
        <v>2282.7420000000002</v>
      </c>
      <c r="G67" s="97">
        <v>2320.1640000000002</v>
      </c>
      <c r="H67" s="99">
        <v>98.39</v>
      </c>
      <c r="I67" s="100">
        <v>0</v>
      </c>
      <c r="J67" s="101">
        <v>0</v>
      </c>
      <c r="K67" s="101">
        <v>0</v>
      </c>
      <c r="L67" s="100">
        <v>171.20564999999999</v>
      </c>
      <c r="M67" s="101">
        <v>0</v>
      </c>
      <c r="N67" s="101">
        <v>0</v>
      </c>
      <c r="O67" s="99">
        <v>171.20564999999999</v>
      </c>
      <c r="P67" s="101">
        <v>199.584</v>
      </c>
      <c r="Q67" s="99">
        <v>85.78</v>
      </c>
    </row>
    <row r="68" spans="1:17" ht="24.75" customHeight="1" x14ac:dyDescent="0.25">
      <c r="A68" s="47" t="s">
        <v>25</v>
      </c>
      <c r="B68" s="71">
        <v>15</v>
      </c>
      <c r="C68" s="72">
        <v>49.8</v>
      </c>
      <c r="D68" s="76">
        <v>31.593</v>
      </c>
      <c r="E68" s="71">
        <v>875</v>
      </c>
      <c r="F68" s="72">
        <v>2144.0259999999998</v>
      </c>
      <c r="G68" s="72">
        <v>5876.2979999999998</v>
      </c>
      <c r="H68" s="67">
        <v>36.49</v>
      </c>
      <c r="I68" s="73">
        <v>0</v>
      </c>
      <c r="J68" s="74">
        <v>0</v>
      </c>
      <c r="K68" s="74">
        <v>0</v>
      </c>
      <c r="L68" s="73">
        <v>160.80195000000001</v>
      </c>
      <c r="M68" s="74">
        <v>0</v>
      </c>
      <c r="N68" s="74">
        <v>0</v>
      </c>
      <c r="O68" s="67">
        <v>160.80195000000001</v>
      </c>
      <c r="P68" s="74">
        <v>505.488</v>
      </c>
      <c r="Q68" s="67">
        <v>31.81</v>
      </c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44</v>
      </c>
      <c r="C73" s="87">
        <f t="shared" si="6"/>
        <v>142.933333</v>
      </c>
      <c r="D73" s="87">
        <f t="shared" si="6"/>
        <v>96.304000000000002</v>
      </c>
      <c r="E73" s="87">
        <f t="shared" si="6"/>
        <v>4565</v>
      </c>
      <c r="F73" s="87">
        <f t="shared" si="6"/>
        <v>10772.375</v>
      </c>
      <c r="G73" s="87">
        <f t="shared" si="6"/>
        <v>18032.448</v>
      </c>
      <c r="H73" s="88">
        <f>IFERROR(F73/G73*100,"")</f>
        <v>59.738838564791642</v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807.92812500000002</v>
      </c>
      <c r="M73" s="88">
        <f t="shared" si="7"/>
        <v>0</v>
      </c>
      <c r="N73" s="88">
        <f t="shared" si="7"/>
        <v>0</v>
      </c>
      <c r="O73" s="88">
        <f t="shared" si="7"/>
        <v>807.92812500000002</v>
      </c>
      <c r="P73" s="88">
        <f t="shared" si="7"/>
        <v>1651.6840000000002</v>
      </c>
      <c r="Q73" s="88">
        <f>IFERROR(O73/P73*100,"")</f>
        <v>48.91541753749506</v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2026-09-14T05:37:10Z</dcterms:modified>
</cp:coreProperties>
</file>