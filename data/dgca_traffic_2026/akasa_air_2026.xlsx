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  <c r="Q73" i="1" l="1"/>
  <c r="Q54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<sst xmlns="http://schemas.openxmlformats.org/spreadsheetml/2006/main" count="157" uniqueCount="44">
  <si>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</si>
  <si>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</si>
  <si>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</si>
  <si>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</si>
  <si>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</si>
  <si>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</si>
  <si>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</si>
  <si>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</si>
  <si>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</si>
  <si>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</si>
  <si>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</si>
  <si>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</si>
  <si>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</si>
  <si>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</si>
  <si>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</si>
  <si>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</si>
  <si>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</si>
  <si>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</si>
  <si>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</si>
  <si>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</si>
  <si>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</si>
  <si>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</si>
  <si>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</si>
  <si>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</si>
  <si>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</si>
  <si>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</si>
  <si>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</si>
  <si>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</si>
  <si>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</si>
  <si>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</si>
  <si>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</si>
  <si>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</si>
  <si>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</si>
  <si>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</si>
  <si>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</si>
  <si>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</si>
  <si>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</si>
  <si>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</si>
  <si>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</si>
  <si>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</si>
  <si>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</si>
  <si>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AKASA AIR</t>
  </si>
  <si>
    <t>2026</t>
  </si>
  <si>
    <t>SOURCE:- ICAO ATR FORM A FURNISHED BY AKASA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</si>
</sst>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4" transitionEvaluation="1" transitionEntry="1"/>
  <dimension ref="A1:Q494"/>
  <sheetViews>
    <sheetView showGridLines="0" tabSelected="1" view="pageBreakPreview" topLeftCell="A64" zoomScale="85" zoomScaleNormal="85" zoomScaleSheetLayoutView="85" workbookViewId="0">
      <selection activeCell="J71" sqref="J7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4144</v>
      </c>
      <c r="C4" s="21">
        <v>9326.35</v>
      </c>
      <c r="D4" s="22">
        <v>4769.433</v>
      </c>
      <c r="E4" s="23">
        <v>727727</v>
      </c>
      <c r="F4" s="21">
        <v>844006.522</v>
      </c>
      <c r="G4" s="21">
        <v>905466.16899999999</v>
      </c>
      <c r="H4" s="25">
        <v>93.21</v>
      </c>
      <c r="I4" s="26">
        <v>4134.4397900000004</v>
      </c>
      <c r="J4" s="27">
        <v>227.25461999999999</v>
      </c>
      <c r="K4" s="25">
        <v>4361.6944100000001</v>
      </c>
      <c r="L4" s="26">
        <v>70536.783670000004</v>
      </c>
      <c r="M4" s="27">
        <v>5243.34537</v>
      </c>
      <c r="N4" s="27">
        <v>290.65071999999998</v>
      </c>
      <c r="O4" s="25">
        <v>76070.779760000005</v>
      </c>
      <c r="P4" s="27">
        <v>97801.993090000004</v>
      </c>
      <c r="Q4" s="25">
        <v>77.78</v>
      </c>
    </row>
    <row r="5" spans="1:17" ht="23.1" customHeight="1" x14ac:dyDescent="0.25">
      <c r="A5" s="43" t="s">
        <v>20</v>
      </c>
      <c r="B5" s="64">
        <v>3903</v>
      </c>
      <c r="C5" s="64">
        <v>8797.7999999999993</v>
      </c>
      <c r="D5" s="53">
        <v>4538.9579999999996</v>
      </c>
      <c r="E5" s="75">
        <v>687287</v>
      </c>
      <c r="F5" s="64">
        <v>804063.527</v>
      </c>
      <c r="G5" s="64">
        <v>861652.53099999996</v>
      </c>
      <c r="H5" s="84">
        <v>93.32</v>
      </c>
      <c r="I5" s="93">
        <v>4206.80566</v>
      </c>
      <c r="J5" s="102">
        <v>223.95293000000001</v>
      </c>
      <c r="K5" s="84">
        <v>4430.7585900000004</v>
      </c>
      <c r="L5" s="93">
        <v>67241.21948</v>
      </c>
      <c r="M5" s="102">
        <v>5341.2642999999998</v>
      </c>
      <c r="N5" s="102">
        <v>292.42478999999997</v>
      </c>
      <c r="O5" s="84">
        <v>72874.90857</v>
      </c>
      <c r="P5" s="102">
        <v>93075.872839999996</v>
      </c>
      <c r="Q5" s="84">
        <v>78.3</v>
      </c>
    </row>
    <row r="6" spans="1:17" ht="23.1" customHeight="1" x14ac:dyDescent="0.25">
      <c r="A6" s="45" t="s">
        <v>21</v>
      </c>
      <c r="B6" s="29">
        <v>4560</v>
      </c>
      <c r="C6" s="29">
        <v>10341.1</v>
      </c>
      <c r="D6" s="28">
        <v>5340.7870000000003</v>
      </c>
      <c r="E6" s="30">
        <v>778132</v>
      </c>
      <c r="F6" s="29">
        <v>919960.10199999996</v>
      </c>
      <c r="G6" s="29">
        <v>1016099.059</v>
      </c>
      <c r="H6" s="31">
        <v>90.54</v>
      </c>
      <c r="I6" s="32">
        <v>4340.3502099999996</v>
      </c>
      <c r="J6" s="33">
        <v>247.16997000000001</v>
      </c>
      <c r="K6" s="31">
        <v>4587.5201800000004</v>
      </c>
      <c r="L6" s="32">
        <v>76264.431949999998</v>
      </c>
      <c r="M6" s="33">
        <v>5483.16</v>
      </c>
      <c r="N6" s="33">
        <v>325.36185999999998</v>
      </c>
      <c r="O6" s="31">
        <v>82072.953810000006</v>
      </c>
      <c r="P6" s="33">
        <v>109518.17822</v>
      </c>
      <c r="Q6" s="31">
        <v>74.94</v>
      </c>
    </row>
    <row r="7" spans="1:17" ht="23.1" customHeight="1" x14ac:dyDescent="0.25">
      <c r="A7" s="43" t="s">
        <v>22</v>
      </c>
      <c r="B7" s="64">
        <v>4593</v>
      </c>
      <c r="C7" s="64">
        <v>10543.833333</v>
      </c>
      <c r="D7" s="53">
        <v>5510.473</v>
      </c>
      <c r="E7" s="75">
        <v>791273</v>
      </c>
      <c r="F7" s="64">
        <v>953359.505</v>
      </c>
      <c r="G7" s="64">
        <v>1039190.441</v>
      </c>
      <c r="H7" s="84">
        <v>91.74</v>
      </c>
      <c r="I7" s="93">
        <v>4262.1876400000001</v>
      </c>
      <c r="J7" s="102">
        <v>274.10271999999998</v>
      </c>
      <c r="K7" s="84">
        <v>4536.29036</v>
      </c>
      <c r="L7" s="93">
        <v>78822.105479999998</v>
      </c>
      <c r="M7" s="102">
        <v>5411.13076</v>
      </c>
      <c r="N7" s="102">
        <v>364.12216000000001</v>
      </c>
      <c r="O7" s="84">
        <v>84597.358399999997</v>
      </c>
      <c r="P7" s="102">
        <v>112997.75934999999</v>
      </c>
      <c r="Q7" s="84">
        <v>74.87</v>
      </c>
    </row>
    <row r="8" spans="1:17" ht="30" customHeight="1" x14ac:dyDescent="0.25">
      <c r="A8" s="45" t="s">
        <v>23</v>
      </c>
      <c r="B8" s="29">
        <v>5172</v>
      </c>
      <c r="C8" s="29">
        <v>11896.4</v>
      </c>
      <c r="D8" s="28">
        <v>6212.8490000000002</v>
      </c>
      <c r="E8" s="30">
        <v>889666</v>
      </c>
      <c r="F8" s="29">
        <v>1084782.622</v>
      </c>
      <c r="G8" s="29">
        <v>1172646.503</v>
      </c>
      <c r="H8" s="31">
        <v>92.51</v>
      </c>
      <c r="I8" s="32">
        <v>5474.61805</v>
      </c>
      <c r="J8" s="33">
        <v>309.83929999999998</v>
      </c>
      <c r="K8" s="31">
        <v>5784.4573499999997</v>
      </c>
      <c r="L8" s="32">
        <v>89607.720300000001</v>
      </c>
      <c r="M8" s="33">
        <v>7071.5730999999996</v>
      </c>
      <c r="N8" s="33">
        <v>398.19790999999998</v>
      </c>
      <c r="O8" s="31">
        <v>97077.491309999998</v>
      </c>
      <c r="P8" s="33">
        <v>127400.68161</v>
      </c>
      <c r="Q8" s="31">
        <v>76.2</v>
      </c>
    </row>
    <row r="9" spans="1:17" ht="23.1" customHeight="1" x14ac:dyDescent="0.25">
      <c r="A9" s="43" t="s">
        <v>39</v>
      </c>
      <c r="B9" s="64">
        <v>5001</v>
      </c>
      <c r="C9" s="64">
        <v>11282.47</v>
      </c>
      <c r="D9" s="53">
        <v>5963.0640000000003</v>
      </c>
      <c r="E9" s="75">
        <v>855604</v>
      </c>
      <c r="F9" s="64">
        <v>1033576.139</v>
      </c>
      <c r="G9" s="64">
        <v>1121521.8940000001</v>
      </c>
      <c r="H9" s="84">
        <v>92.16</v>
      </c>
      <c r="I9" s="93">
        <v>6056.4104200000002</v>
      </c>
      <c r="J9" s="102">
        <v>324.4692</v>
      </c>
      <c r="K9" s="84">
        <v>6380.8796199999997</v>
      </c>
      <c r="L9" s="93">
        <v>85376.149850000002</v>
      </c>
      <c r="M9" s="102">
        <v>7765.7140799999997</v>
      </c>
      <c r="N9" s="102">
        <v>388.41748000000001</v>
      </c>
      <c r="O9" s="84">
        <v>93530.281409999996</v>
      </c>
      <c r="P9" s="102">
        <v>122278.59039</v>
      </c>
      <c r="Q9" s="84">
        <v>76.489999999999995</v>
      </c>
    </row>
    <row r="10" spans="1:17" ht="23.1" customHeight="1" x14ac:dyDescent="0.25">
      <c r="A10" s="45" t="s">
        <v>24</v>
      </c>
      <c r="B10" s="29">
        <v>3829</v>
      </c>
      <c r="C10" s="29">
        <v>8590.7000000000007</v>
      </c>
      <c r="D10" s="28">
        <v>4467.8389999999999</v>
      </c>
      <c r="E10" s="30">
        <v>664572</v>
      </c>
      <c r="F10" s="29">
        <v>784078.28200000001</v>
      </c>
      <c r="G10" s="29">
        <v>852930.27599999995</v>
      </c>
      <c r="H10" s="31">
        <v>91.93</v>
      </c>
      <c r="I10" s="32">
        <v>5278.0869199999997</v>
      </c>
      <c r="J10" s="33">
        <v>302.25776000000002</v>
      </c>
      <c r="K10" s="31">
        <v>5580.3446800000002</v>
      </c>
      <c r="L10" s="32">
        <v>65169.432639999999</v>
      </c>
      <c r="M10" s="33">
        <v>6666.8455299999996</v>
      </c>
      <c r="N10" s="33">
        <v>383.0908</v>
      </c>
      <c r="O10" s="31">
        <v>72219.368969999996</v>
      </c>
      <c r="P10" s="33">
        <v>91617.506519999995</v>
      </c>
      <c r="Q10" s="31">
        <v>78.83</v>
      </c>
    </row>
    <row r="11" spans="1:17" ht="23.1" customHeight="1" x14ac:dyDescent="0.25">
      <c r="A11" s="43" t="s">
        <v>25</v>
      </c>
      <c r="B11" s="64">
        <v>4031</v>
      </c>
      <c r="C11" s="64">
        <v>9077.94</v>
      </c>
      <c r="D11" s="53">
        <v>4697.6840000000002</v>
      </c>
      <c r="E11" s="75">
        <v>667723</v>
      </c>
      <c r="F11" s="64">
        <v>786395.52599999995</v>
      </c>
      <c r="G11" s="64">
        <v>897352.26699999999</v>
      </c>
      <c r="H11" s="84">
        <v>87.64</v>
      </c>
      <c r="I11" s="93">
        <v>5159.3915900000002</v>
      </c>
      <c r="J11" s="102">
        <v>331.88279</v>
      </c>
      <c r="K11" s="84">
        <v>5491.2743799999998</v>
      </c>
      <c r="L11" s="93">
        <v>65045.314939999997</v>
      </c>
      <c r="M11" s="102">
        <v>6401.1048899999996</v>
      </c>
      <c r="N11" s="102">
        <v>416.86734999999999</v>
      </c>
      <c r="O11" s="84">
        <v>71863.287179999999</v>
      </c>
      <c r="P11" s="102">
        <v>96330.708119999996</v>
      </c>
      <c r="Q11" s="84">
        <v>74.599999999999994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35233</v>
      </c>
      <c r="C16" s="36">
        <f t="shared" si="0"/>
        <v>79856.593333000012</v>
      </c>
      <c r="D16" s="36">
        <f t="shared" si="0"/>
        <v>41501.087</v>
      </c>
      <c r="E16" s="36">
        <f t="shared" si="0"/>
        <v>6061984</v>
      </c>
      <c r="F16" s="36">
        <f t="shared" si="0"/>
        <v>7210222.2249999987</v>
      </c>
      <c r="G16" s="36">
        <f t="shared" si="0"/>
        <v>7866859.1399999997</v>
      </c>
      <c r="H16" s="37">
        <f>IFERROR(F16/G16*100,"")</f>
        <v>91.65312479460512</v>
      </c>
      <c r="I16" s="37">
        <f t="shared" ref="I16:P16" si="1">IFERROR(SUM(I4:I15),"")</f>
        <v>38912.290280000001</v>
      </c>
      <c r="J16" s="37">
        <f t="shared" si="1"/>
        <v>2240.92929</v>
      </c>
      <c r="K16" s="37">
        <f t="shared" si="1"/>
        <v>41153.219570000001</v>
      </c>
      <c r="L16" s="37">
        <f t="shared" si="1"/>
        <v>598063.15830999997</v>
      </c>
      <c r="M16" s="37">
        <f t="shared" si="1"/>
        <v>49384.138030000002</v>
      </c>
      <c r="N16" s="37">
        <f t="shared" si="1"/>
        <v>2859.1330699999999</v>
      </c>
      <c r="O16" s="37">
        <f t="shared" si="1"/>
        <v>650306.42940999998</v>
      </c>
      <c r="P16" s="38">
        <f t="shared" si="1"/>
        <v>851021.29014000006</v>
      </c>
      <c r="Q16" s="38">
        <f>IFERROR(O16/P16*100,"")</f>
        <v>76.414824980820299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642</v>
      </c>
      <c r="C23" s="8">
        <v>3016.6</v>
      </c>
      <c r="D23" s="9">
        <v>1921.6020000000001</v>
      </c>
      <c r="E23" s="7">
        <v>100136</v>
      </c>
      <c r="F23" s="8">
        <v>303379.658</v>
      </c>
      <c r="G23" s="8">
        <v>363678.91200000001</v>
      </c>
      <c r="H23" s="10">
        <v>83.42</v>
      </c>
      <c r="I23" s="11">
        <v>166.40799999999999</v>
      </c>
      <c r="J23" s="11">
        <v>0</v>
      </c>
      <c r="K23" s="11">
        <v>166.40799999999999</v>
      </c>
      <c r="L23" s="12">
        <v>28393.844710000001</v>
      </c>
      <c r="M23" s="11">
        <v>488.32864999999998</v>
      </c>
      <c r="N23" s="11">
        <v>0</v>
      </c>
      <c r="O23" s="14">
        <v>28882.173360000001</v>
      </c>
      <c r="P23" s="12">
        <v>39404.370569999999</v>
      </c>
      <c r="Q23" s="14">
        <v>73.3</v>
      </c>
    </row>
    <row r="24" spans="1:17" ht="23.1" customHeight="1" x14ac:dyDescent="0.25">
      <c r="A24" s="51" t="s">
        <v>20</v>
      </c>
      <c r="B24" s="51">
        <v>548</v>
      </c>
      <c r="C24" s="50">
        <v>2523.13333333333</v>
      </c>
      <c r="D24" s="52">
        <v>1605.9369999999999</v>
      </c>
      <c r="E24" s="51">
        <v>78604</v>
      </c>
      <c r="F24" s="50">
        <v>231282.976</v>
      </c>
      <c r="G24" s="50">
        <v>303966.03899999999</v>
      </c>
      <c r="H24" s="54">
        <v>76.09</v>
      </c>
      <c r="I24" s="55">
        <v>151.33099999999999</v>
      </c>
      <c r="J24" s="55">
        <v>0</v>
      </c>
      <c r="K24" s="55">
        <v>151.33099999999999</v>
      </c>
      <c r="L24" s="56">
        <v>21761.88495</v>
      </c>
      <c r="M24" s="55">
        <v>428.70871</v>
      </c>
      <c r="N24" s="55">
        <v>0</v>
      </c>
      <c r="O24" s="54">
        <v>22190.593659999999</v>
      </c>
      <c r="P24" s="56">
        <v>32931.344100000002</v>
      </c>
      <c r="Q24" s="54">
        <v>67.38</v>
      </c>
    </row>
    <row r="25" spans="1:17" ht="23.1" customHeight="1" x14ac:dyDescent="0.25">
      <c r="A25" s="15" t="s">
        <v>21</v>
      </c>
      <c r="B25" s="15">
        <v>329</v>
      </c>
      <c r="C25" s="6">
        <v>1725.2</v>
      </c>
      <c r="D25" s="16">
        <v>1081.096</v>
      </c>
      <c r="E25" s="15">
        <v>49541</v>
      </c>
      <c r="F25" s="6">
        <v>165014.48199999999</v>
      </c>
      <c r="G25" s="6">
        <v>202915.45800000001</v>
      </c>
      <c r="H25" s="10">
        <v>81.319999999999993</v>
      </c>
      <c r="I25" s="17">
        <v>67.23</v>
      </c>
      <c r="J25" s="17">
        <v>0</v>
      </c>
      <c r="K25" s="17">
        <v>67.23</v>
      </c>
      <c r="L25" s="18">
        <v>15271.20623</v>
      </c>
      <c r="M25" s="17">
        <v>254.16381000000001</v>
      </c>
      <c r="N25" s="17">
        <v>0</v>
      </c>
      <c r="O25" s="10">
        <v>15525.37004</v>
      </c>
      <c r="P25" s="18">
        <v>22168.954580000001</v>
      </c>
      <c r="Q25" s="10">
        <v>70.03</v>
      </c>
    </row>
    <row r="26" spans="1:17" ht="23.1" customHeight="1" x14ac:dyDescent="0.25">
      <c r="A26" s="51" t="s">
        <v>22</v>
      </c>
      <c r="B26" s="51">
        <v>382</v>
      </c>
      <c r="C26" s="50">
        <v>1925.45</v>
      </c>
      <c r="D26" s="52">
        <v>1246.1179999999999</v>
      </c>
      <c r="E26" s="51">
        <v>54186</v>
      </c>
      <c r="F26" s="50">
        <v>174308.837</v>
      </c>
      <c r="G26" s="50">
        <v>236664.05600000001</v>
      </c>
      <c r="H26" s="54">
        <v>73.650000000000006</v>
      </c>
      <c r="I26" s="55">
        <v>111.5712</v>
      </c>
      <c r="J26" s="55">
        <v>0</v>
      </c>
      <c r="K26" s="55">
        <v>111.5712</v>
      </c>
      <c r="L26" s="56">
        <v>16295.930270000001</v>
      </c>
      <c r="M26" s="55">
        <v>371.46082000000001</v>
      </c>
      <c r="N26" s="55">
        <v>0</v>
      </c>
      <c r="O26" s="54">
        <v>16667.391090000001</v>
      </c>
      <c r="P26" s="56">
        <v>25552.895710000001</v>
      </c>
      <c r="Q26" s="54">
        <v>65.23</v>
      </c>
    </row>
    <row r="27" spans="1:17" ht="30" customHeight="1" x14ac:dyDescent="0.25">
      <c r="A27" s="15" t="s">
        <v>23</v>
      </c>
      <c r="B27" s="15">
        <v>377</v>
      </c>
      <c r="C27" s="6">
        <v>1595.6333</v>
      </c>
      <c r="D27" s="16">
        <v>1026.7170000000001</v>
      </c>
      <c r="E27" s="15">
        <v>58095</v>
      </c>
      <c r="F27" s="6">
        <v>158180.57399999999</v>
      </c>
      <c r="G27" s="6">
        <v>195662.41699999999</v>
      </c>
      <c r="H27" s="10">
        <v>80.84</v>
      </c>
      <c r="I27" s="17">
        <v>199.86644999999999</v>
      </c>
      <c r="J27" s="17">
        <v>0</v>
      </c>
      <c r="K27" s="17">
        <v>199.86644999999999</v>
      </c>
      <c r="L27" s="18">
        <v>14470.250910000001</v>
      </c>
      <c r="M27" s="17">
        <v>549.02377000000001</v>
      </c>
      <c r="N27" s="17">
        <v>0</v>
      </c>
      <c r="O27" s="10">
        <v>15019.27468</v>
      </c>
      <c r="P27" s="18">
        <v>21053.858779999999</v>
      </c>
      <c r="Q27" s="10">
        <v>71.34</v>
      </c>
    </row>
    <row r="28" spans="1:17" ht="23.1" customHeight="1" x14ac:dyDescent="0.25">
      <c r="A28" s="51" t="s">
        <v>39</v>
      </c>
      <c r="B28" s="51">
        <v>397</v>
      </c>
      <c r="C28" s="50">
        <v>1705.25</v>
      </c>
      <c r="D28" s="52">
        <v>1110.116</v>
      </c>
      <c r="E28" s="51">
        <v>59963</v>
      </c>
      <c r="F28" s="50">
        <v>168433.24600000001</v>
      </c>
      <c r="G28" s="50">
        <v>211255.96900000001</v>
      </c>
      <c r="H28" s="54">
        <v>79.73</v>
      </c>
      <c r="I28" s="55">
        <v>215.0685</v>
      </c>
      <c r="J28" s="55">
        <v>0</v>
      </c>
      <c r="K28" s="55">
        <v>215.0685</v>
      </c>
      <c r="L28" s="56">
        <v>15678.702799999999</v>
      </c>
      <c r="M28" s="55">
        <v>587.38413000000003</v>
      </c>
      <c r="N28" s="55">
        <v>0</v>
      </c>
      <c r="O28" s="54">
        <v>16266.086929999999</v>
      </c>
      <c r="P28" s="56">
        <v>22764.038690000001</v>
      </c>
      <c r="Q28" s="54">
        <v>71.459999999999994</v>
      </c>
    </row>
    <row r="29" spans="1:17" ht="23.1" customHeight="1" x14ac:dyDescent="0.25">
      <c r="A29" s="15" t="s">
        <v>40</v>
      </c>
      <c r="B29" s="15">
        <v>713</v>
      </c>
      <c r="C29" s="6">
        <v>3413.56</v>
      </c>
      <c r="D29" s="16">
        <v>2283.8829999999998</v>
      </c>
      <c r="E29" s="15">
        <v>107355</v>
      </c>
      <c r="F29" s="6">
        <v>345837.83899999998</v>
      </c>
      <c r="G29" s="6">
        <v>435659.516</v>
      </c>
      <c r="H29" s="10">
        <v>79.38</v>
      </c>
      <c r="I29" s="17">
        <v>383.22809999999998</v>
      </c>
      <c r="J29" s="17">
        <v>0</v>
      </c>
      <c r="K29" s="17">
        <v>383.22809999999998</v>
      </c>
      <c r="L29" s="18">
        <v>32462.554110000001</v>
      </c>
      <c r="M29" s="17">
        <v>1175.82051</v>
      </c>
      <c r="N29" s="17">
        <v>0</v>
      </c>
      <c r="O29" s="10">
        <v>33638.374620000002</v>
      </c>
      <c r="P29" s="18">
        <v>46833.304779999999</v>
      </c>
      <c r="Q29" s="10">
        <v>71.83</v>
      </c>
    </row>
    <row r="30" spans="1:17" ht="23.1" customHeight="1" x14ac:dyDescent="0.25">
      <c r="A30" s="51" t="s">
        <v>25</v>
      </c>
      <c r="B30" s="51">
        <v>722</v>
      </c>
      <c r="C30" s="50">
        <v>3477.16</v>
      </c>
      <c r="D30" s="52">
        <v>2311.241</v>
      </c>
      <c r="E30" s="51">
        <v>103843</v>
      </c>
      <c r="F30" s="50">
        <v>331641.451</v>
      </c>
      <c r="G30" s="50">
        <v>440836.24300000002</v>
      </c>
      <c r="H30" s="54">
        <v>75.23</v>
      </c>
      <c r="I30" s="55">
        <v>342.41777999999999</v>
      </c>
      <c r="J30" s="55">
        <v>0</v>
      </c>
      <c r="K30" s="55">
        <v>342.41777999999999</v>
      </c>
      <c r="L30" s="56">
        <v>31164.87269</v>
      </c>
      <c r="M30" s="55">
        <v>1071.42849</v>
      </c>
      <c r="N30" s="55">
        <v>0</v>
      </c>
      <c r="O30" s="54">
        <v>32236.301179999999</v>
      </c>
      <c r="P30" s="56">
        <v>47394.307919999999</v>
      </c>
      <c r="Q30" s="54">
        <v>68.02</v>
      </c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4110</v>
      </c>
      <c r="C35" s="3">
        <f t="shared" si="2"/>
        <v>19381.986633333327</v>
      </c>
      <c r="D35" s="3">
        <f t="shared" si="2"/>
        <v>12586.710000000001</v>
      </c>
      <c r="E35" s="3">
        <f t="shared" si="2"/>
        <v>611723</v>
      </c>
      <c r="F35" s="3">
        <f t="shared" si="2"/>
        <v>1878079.0630000001</v>
      </c>
      <c r="G35" s="3">
        <f t="shared" si="2"/>
        <v>2390638.6100000003</v>
      </c>
      <c r="H35" s="4">
        <f>IFERROR(F35/G35*100,"")</f>
        <v>78.559722709406074</v>
      </c>
      <c r="I35" s="5">
        <f t="shared" ref="I35:P35" si="3">IFERROR(SUM(I23:I34),"")</f>
        <v>1637.12103</v>
      </c>
      <c r="J35" s="5">
        <f t="shared" si="3"/>
        <v>0</v>
      </c>
      <c r="K35" s="5">
        <f t="shared" si="3"/>
        <v>1637.12103</v>
      </c>
      <c r="L35" s="5">
        <f t="shared" si="3"/>
        <v>175499.24666999999</v>
      </c>
      <c r="M35" s="5">
        <f t="shared" si="3"/>
        <v>4926.3188900000005</v>
      </c>
      <c r="N35" s="5">
        <f t="shared" si="3"/>
        <v>0</v>
      </c>
      <c r="O35" s="5">
        <f t="shared" si="3"/>
        <v>180425.56556000002</v>
      </c>
      <c r="P35" s="5">
        <f t="shared" si="3"/>
        <v>258103.07513000001</v>
      </c>
      <c r="Q35" s="5">
        <f>IFERROR(O35/P35*100,"")</f>
        <v>69.904461800435442</v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10</v>
      </c>
      <c r="C42" s="104">
        <v>20.016660000000002</v>
      </c>
      <c r="D42" s="105">
        <v>10.423</v>
      </c>
      <c r="E42" s="103">
        <v>1474</v>
      </c>
      <c r="F42" s="104">
        <v>1470.0830000000001</v>
      </c>
      <c r="G42" s="104">
        <v>1976.221</v>
      </c>
      <c r="H42" s="106">
        <v>74.39</v>
      </c>
      <c r="I42" s="107">
        <v>2</v>
      </c>
      <c r="J42" s="108">
        <v>0</v>
      </c>
      <c r="K42" s="106">
        <v>2</v>
      </c>
      <c r="L42" s="107">
        <v>136.73532</v>
      </c>
      <c r="M42" s="108">
        <v>2.04</v>
      </c>
      <c r="N42" s="108">
        <v>0</v>
      </c>
      <c r="O42" s="106">
        <v>138.77531999999999</v>
      </c>
      <c r="P42" s="107">
        <v>213.73401999999999</v>
      </c>
      <c r="Q42" s="106">
        <v>64.930000000000007</v>
      </c>
    </row>
    <row r="43" spans="1:17" ht="25.5" customHeight="1" x14ac:dyDescent="0.25">
      <c r="A43" s="47" t="s">
        <v>20</v>
      </c>
      <c r="B43" s="63">
        <v>11</v>
      </c>
      <c r="C43" s="65">
        <v>24.733333333333299</v>
      </c>
      <c r="D43" s="66">
        <v>11.789</v>
      </c>
      <c r="E43" s="63">
        <v>1636</v>
      </c>
      <c r="F43" s="65">
        <v>1711.0609999999999</v>
      </c>
      <c r="G43" s="65">
        <v>2226.73</v>
      </c>
      <c r="H43" s="67">
        <v>76.84</v>
      </c>
      <c r="I43" s="68">
        <v>2.9060000000000001</v>
      </c>
      <c r="J43" s="69">
        <v>0</v>
      </c>
      <c r="K43" s="67">
        <v>2.9060000000000001</v>
      </c>
      <c r="L43" s="68">
        <v>154.90527</v>
      </c>
      <c r="M43" s="69">
        <v>2.56826</v>
      </c>
      <c r="N43" s="69">
        <v>0</v>
      </c>
      <c r="O43" s="67">
        <v>157.47353000000001</v>
      </c>
      <c r="P43" s="68">
        <v>241.74522999999999</v>
      </c>
      <c r="Q43" s="67">
        <v>65.14</v>
      </c>
    </row>
    <row r="44" spans="1:17" ht="25.5" customHeight="1" x14ac:dyDescent="0.25">
      <c r="A44" s="46" t="s">
        <v>21</v>
      </c>
      <c r="B44" s="109">
        <v>4</v>
      </c>
      <c r="C44" s="110">
        <v>8.3833333333333293</v>
      </c>
      <c r="D44" s="111">
        <v>4.3680000000000003</v>
      </c>
      <c r="E44" s="109">
        <v>529</v>
      </c>
      <c r="F44" s="110">
        <v>547.43499999999995</v>
      </c>
      <c r="G44" s="110">
        <v>837.79899999999998</v>
      </c>
      <c r="H44" s="112">
        <v>65.34</v>
      </c>
      <c r="I44" s="113">
        <v>0</v>
      </c>
      <c r="J44" s="114">
        <v>0</v>
      </c>
      <c r="K44" s="112">
        <v>0</v>
      </c>
      <c r="L44" s="113">
        <v>44.021639999999998</v>
      </c>
      <c r="M44" s="114">
        <v>0</v>
      </c>
      <c r="N44" s="114">
        <v>0</v>
      </c>
      <c r="O44" s="112">
        <v>44.021639999999998</v>
      </c>
      <c r="P44" s="113">
        <v>89.5702</v>
      </c>
      <c r="Q44" s="112">
        <v>49.15</v>
      </c>
    </row>
    <row r="45" spans="1:17" ht="25.5" customHeight="1" x14ac:dyDescent="0.25">
      <c r="A45" s="47" t="s">
        <v>22</v>
      </c>
      <c r="B45" s="63">
        <v>23</v>
      </c>
      <c r="C45" s="70">
        <v>40.133333</v>
      </c>
      <c r="D45" s="66">
        <v>14.766</v>
      </c>
      <c r="E45" s="63">
        <v>3304</v>
      </c>
      <c r="F45" s="65">
        <v>2121.1680000000001</v>
      </c>
      <c r="G45" s="65">
        <v>2141.0700000000002</v>
      </c>
      <c r="H45" s="67">
        <v>99.07</v>
      </c>
      <c r="I45" s="68">
        <v>0</v>
      </c>
      <c r="J45" s="69">
        <v>0</v>
      </c>
      <c r="K45" s="67">
        <v>0</v>
      </c>
      <c r="L45" s="68">
        <v>195.51724999999999</v>
      </c>
      <c r="M45" s="69">
        <v>0</v>
      </c>
      <c r="N45" s="69">
        <v>0</v>
      </c>
      <c r="O45" s="67">
        <v>195.51724999999999</v>
      </c>
      <c r="P45" s="68">
        <v>302.79160000000002</v>
      </c>
      <c r="Q45" s="67">
        <v>64.569999999999993</v>
      </c>
    </row>
    <row r="46" spans="1:17" ht="25.5" customHeight="1" x14ac:dyDescent="0.25">
      <c r="A46" s="46" t="s">
        <v>23</v>
      </c>
      <c r="B46" s="109">
        <v>6</v>
      </c>
      <c r="C46" s="115">
        <v>11.166600000000001</v>
      </c>
      <c r="D46" s="111">
        <v>4.8289999999999997</v>
      </c>
      <c r="E46" s="109">
        <v>730</v>
      </c>
      <c r="F46" s="110">
        <v>548.774</v>
      </c>
      <c r="G46" s="110">
        <v>771.44100000000003</v>
      </c>
      <c r="H46" s="112">
        <v>71.14</v>
      </c>
      <c r="I46" s="113">
        <v>0</v>
      </c>
      <c r="J46" s="114">
        <v>0</v>
      </c>
      <c r="K46" s="112">
        <v>0</v>
      </c>
      <c r="L46" s="113">
        <v>52.260899999999999</v>
      </c>
      <c r="M46" s="114">
        <v>0</v>
      </c>
      <c r="N46" s="114">
        <v>0</v>
      </c>
      <c r="O46" s="112">
        <v>52.260899999999999</v>
      </c>
      <c r="P46" s="113">
        <v>99.023470000000003</v>
      </c>
      <c r="Q46" s="112">
        <v>52.78</v>
      </c>
    </row>
    <row r="47" spans="1:17" ht="25.5" customHeight="1" x14ac:dyDescent="0.25">
      <c r="A47" s="47" t="s">
        <v>39</v>
      </c>
      <c r="B47" s="71">
        <v>37</v>
      </c>
      <c r="C47" s="72">
        <v>87.77</v>
      </c>
      <c r="D47" s="66">
        <v>46.051000000000002</v>
      </c>
      <c r="E47" s="71">
        <v>5067</v>
      </c>
      <c r="F47" s="72">
        <v>6268.0290000000005</v>
      </c>
      <c r="G47" s="72">
        <v>6819.8710000000001</v>
      </c>
      <c r="H47" s="67">
        <v>91.91</v>
      </c>
      <c r="I47" s="73">
        <v>0</v>
      </c>
      <c r="J47" s="74">
        <v>0</v>
      </c>
      <c r="K47" s="67">
        <v>0</v>
      </c>
      <c r="L47" s="73">
        <v>681.05759999999998</v>
      </c>
      <c r="M47" s="74">
        <v>0</v>
      </c>
      <c r="N47" s="74">
        <v>0</v>
      </c>
      <c r="O47" s="67">
        <v>681.05759999999998</v>
      </c>
      <c r="P47" s="73">
        <v>944.32180000000005</v>
      </c>
      <c r="Q47" s="67">
        <v>72.12</v>
      </c>
    </row>
    <row r="48" spans="1:17" ht="25.5" customHeight="1" x14ac:dyDescent="0.25">
      <c r="A48" s="46" t="s">
        <v>40</v>
      </c>
      <c r="B48" s="116">
        <v>2</v>
      </c>
      <c r="C48" s="117">
        <v>6.59</v>
      </c>
      <c r="D48" s="118">
        <v>4.0960000000000001</v>
      </c>
      <c r="E48" s="116">
        <v>240</v>
      </c>
      <c r="F48" s="117">
        <v>491.52</v>
      </c>
      <c r="G48" s="117">
        <v>761.85599999999999</v>
      </c>
      <c r="H48" s="112">
        <v>64.52</v>
      </c>
      <c r="I48" s="119">
        <v>0</v>
      </c>
      <c r="J48" s="120">
        <v>0</v>
      </c>
      <c r="K48" s="112">
        <v>0</v>
      </c>
      <c r="L48" s="119">
        <v>36.863999999999997</v>
      </c>
      <c r="M48" s="120">
        <v>0</v>
      </c>
      <c r="N48" s="120">
        <v>0</v>
      </c>
      <c r="O48" s="112">
        <v>36.863999999999997</v>
      </c>
      <c r="P48" s="119">
        <v>83.992580000000004</v>
      </c>
      <c r="Q48" s="112">
        <v>43.89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93</v>
      </c>
      <c r="C54" s="123">
        <f t="shared" si="4"/>
        <v>198.79325966666664</v>
      </c>
      <c r="D54" s="123">
        <f t="shared" si="4"/>
        <v>96.322000000000003</v>
      </c>
      <c r="E54" s="123">
        <f t="shared" si="4"/>
        <v>12980</v>
      </c>
      <c r="F54" s="123">
        <f t="shared" si="4"/>
        <v>13158.070000000002</v>
      </c>
      <c r="G54" s="123">
        <f t="shared" si="4"/>
        <v>15534.987999999999</v>
      </c>
      <c r="H54" s="124">
        <f>IFERROR(F54/G54*100,"")</f>
        <v>84.699582645316511</v>
      </c>
      <c r="I54" s="124">
        <f t="shared" ref="I54:P54" si="5">IFERROR(SUM(I42:I53),"")</f>
        <v>4.9060000000000006</v>
      </c>
      <c r="J54" s="124">
        <f t="shared" si="5"/>
        <v>0</v>
      </c>
      <c r="K54" s="124">
        <f t="shared" si="5"/>
        <v>4.9060000000000006</v>
      </c>
      <c r="L54" s="124">
        <f t="shared" si="5"/>
        <v>1301.3619800000001</v>
      </c>
      <c r="M54" s="124">
        <f t="shared" si="5"/>
        <v>4.6082599999999996</v>
      </c>
      <c r="N54" s="124">
        <f t="shared" si="5"/>
        <v>0</v>
      </c>
      <c r="O54" s="124">
        <f t="shared" si="5"/>
        <v>1305.9702400000001</v>
      </c>
      <c r="P54" s="125">
        <f t="shared" si="5"/>
        <v>1975.1789000000001</v>
      </c>
      <c r="Q54" s="124">
        <f>IFERROR(O54/P54*100,"")</f>
        <v>66.119086225556572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1</v>
      </c>
      <c r="C62" s="72">
        <v>3.9666666666666699</v>
      </c>
      <c r="D62" s="76">
        <v>2.0939999999999999</v>
      </c>
      <c r="E62" s="71">
        <v>182</v>
      </c>
      <c r="F62" s="72">
        <v>381.108</v>
      </c>
      <c r="G62" s="72">
        <v>389.48399999999998</v>
      </c>
      <c r="H62" s="67">
        <v>97.85</v>
      </c>
      <c r="I62" s="73">
        <v>0</v>
      </c>
      <c r="J62" s="74">
        <v>0</v>
      </c>
      <c r="K62" s="74">
        <v>0</v>
      </c>
      <c r="L62" s="73">
        <v>34.324849999999998</v>
      </c>
      <c r="M62" s="74">
        <v>0</v>
      </c>
      <c r="N62" s="74">
        <v>0</v>
      </c>
      <c r="O62" s="67">
        <v>34.324849999999998</v>
      </c>
      <c r="P62" s="74">
        <v>42.93956</v>
      </c>
      <c r="Q62" s="67">
        <v>79.94</v>
      </c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>
        <v>33</v>
      </c>
      <c r="C64" s="72">
        <v>205.11666700000001</v>
      </c>
      <c r="D64" s="76">
        <v>126.18300000000001</v>
      </c>
      <c r="E64" s="71">
        <v>4745</v>
      </c>
      <c r="F64" s="72">
        <v>18144.541000000001</v>
      </c>
      <c r="G64" s="72">
        <v>18296.535</v>
      </c>
      <c r="H64" s="67">
        <v>99.17</v>
      </c>
      <c r="I64" s="73">
        <v>0</v>
      </c>
      <c r="J64" s="74">
        <v>0</v>
      </c>
      <c r="K64" s="74">
        <v>0</v>
      </c>
      <c r="L64" s="73">
        <v>1751.33905</v>
      </c>
      <c r="M64" s="74">
        <v>0</v>
      </c>
      <c r="N64" s="74">
        <v>0</v>
      </c>
      <c r="O64" s="67">
        <v>1751.33905</v>
      </c>
      <c r="P64" s="74">
        <v>2587.5086000000001</v>
      </c>
      <c r="Q64" s="67">
        <v>67.680000000000007</v>
      </c>
    </row>
    <row r="65" spans="1:17" ht="24.75" customHeight="1" x14ac:dyDescent="0.25">
      <c r="A65" s="48" t="s">
        <v>23</v>
      </c>
      <c r="B65" s="96">
        <v>82</v>
      </c>
      <c r="C65" s="97">
        <v>462.83300000000003</v>
      </c>
      <c r="D65" s="98">
        <v>298.91300000000001</v>
      </c>
      <c r="E65" s="96">
        <v>11622</v>
      </c>
      <c r="F65" s="97">
        <v>42348.932999999997</v>
      </c>
      <c r="G65" s="97">
        <v>43342.385000000002</v>
      </c>
      <c r="H65" s="99">
        <v>97.71</v>
      </c>
      <c r="I65" s="100">
        <v>0</v>
      </c>
      <c r="J65" s="101">
        <v>0</v>
      </c>
      <c r="K65" s="101">
        <v>0</v>
      </c>
      <c r="L65" s="100">
        <v>4366.3839399999997</v>
      </c>
      <c r="M65" s="101">
        <v>0</v>
      </c>
      <c r="N65" s="101">
        <v>0</v>
      </c>
      <c r="O65" s="99">
        <v>4366.3839399999997</v>
      </c>
      <c r="P65" s="101">
        <v>6129.5099899999996</v>
      </c>
      <c r="Q65" s="99">
        <v>71.239999999999995</v>
      </c>
    </row>
    <row r="66" spans="1:17" ht="24.75" customHeight="1" x14ac:dyDescent="0.25">
      <c r="A66" s="47" t="s">
        <v>39</v>
      </c>
      <c r="B66" s="71">
        <v>122</v>
      </c>
      <c r="C66" s="72">
        <v>604.29999999999995</v>
      </c>
      <c r="D66" s="76">
        <v>410.02300000000002</v>
      </c>
      <c r="E66" s="71">
        <v>17167</v>
      </c>
      <c r="F66" s="72">
        <v>57759.877</v>
      </c>
      <c r="G66" s="72">
        <v>59453.334999999999</v>
      </c>
      <c r="H66" s="67">
        <v>97.15</v>
      </c>
      <c r="I66" s="73">
        <v>0</v>
      </c>
      <c r="J66" s="74">
        <v>0</v>
      </c>
      <c r="K66" s="74">
        <v>0</v>
      </c>
      <c r="L66" s="73">
        <v>6336.1983499999997</v>
      </c>
      <c r="M66" s="74">
        <v>0</v>
      </c>
      <c r="N66" s="74">
        <v>0</v>
      </c>
      <c r="O66" s="67">
        <v>6336.1983499999997</v>
      </c>
      <c r="P66" s="74">
        <v>8407.9316299999991</v>
      </c>
      <c r="Q66" s="67">
        <v>75.36</v>
      </c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238</v>
      </c>
      <c r="C73" s="87">
        <f t="shared" si="6"/>
        <v>1276.2163336666667</v>
      </c>
      <c r="D73" s="87">
        <f t="shared" si="6"/>
        <v>837.21300000000008</v>
      </c>
      <c r="E73" s="87">
        <f t="shared" si="6"/>
        <v>33716</v>
      </c>
      <c r="F73" s="87">
        <f t="shared" si="6"/>
        <v>118634.459</v>
      </c>
      <c r="G73" s="87">
        <f t="shared" si="6"/>
        <v>121481.739</v>
      </c>
      <c r="H73" s="88">
        <f>IFERROR(F73/G73*100,"")</f>
        <v>97.656207407435943</v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12488.246189999998</v>
      </c>
      <c r="M73" s="88">
        <f t="shared" si="7"/>
        <v>0</v>
      </c>
      <c r="N73" s="88">
        <f t="shared" si="7"/>
        <v>0</v>
      </c>
      <c r="O73" s="88">
        <f t="shared" si="7"/>
        <v>12488.246189999998</v>
      </c>
      <c r="P73" s="88">
        <f t="shared" si="7"/>
        <v>17167.889779999998</v>
      </c>
      <c r="Q73" s="88">
        <f>IFERROR(O73/P73*100,"")</f>
        <v>72.741882374783046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2026-09-14T05:35:23Z</dcterms:modified>
</cp:coreProperties>
</file>