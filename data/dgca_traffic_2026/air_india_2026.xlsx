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<sst xmlns="http://schemas.openxmlformats.org/spreadsheetml/2006/main" count="157" uniqueCount="44">
  <si>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</si>
  <si>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</si>
  <si>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</si>
  <si>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</si>
  <si>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</si>
  <si>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</si>
  <si>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</si>
  <si>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</si>
  <si>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</si>
  <si>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</si>
  <si>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</si>
  <si>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</si>
  <si>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</si>
  <si>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</si>
  <si>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</si>
  <si>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</si>
  <si>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</si>
  <si>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</si>
  <si>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</si>
  <si>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</si>
  <si>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</si>
  <si>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</si>
  <si>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</si>
  <si>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</si>
  <si>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</si>
  <si>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</si>
  <si>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</si>
  <si>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</si>
  <si>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</si>
  <si>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</si>
  <si>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</si>
  <si>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</si>
  <si>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</si>
  <si>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</si>
  <si>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</si>
  <si>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</si>
  <si>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</si>
  <si>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</si>
  <si>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</si>
  <si>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</si>
  <si>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</si>
  <si>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</t>
  </si>
  <si>
    <t>2026</t>
  </si>
  <si>
    <t>SOURCE:- ICAO ATR FORM A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</si>
</sst>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M3" sqref="M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9.855468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2.28515625" customWidth="1"/>
    <col min="14" max="14" width="9.140625" customWidth="1"/>
    <col min="15" max="15" width="11.7109375" customWidth="1"/>
    <col min="16" max="16" width="12.140625" customWidth="1"/>
    <col min="17" max="17" width="6.14062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15435</v>
      </c>
      <c r="C4" s="21">
        <v>32663.449999999899</v>
      </c>
      <c r="D4" s="22">
        <v>16604.5</v>
      </c>
      <c r="E4" s="23">
        <v>2297474</v>
      </c>
      <c r="F4" s="21">
        <v>2427786.7680000002</v>
      </c>
      <c r="G4" s="21">
        <v>2804433.74</v>
      </c>
      <c r="H4" s="25">
        <v>86.57</v>
      </c>
      <c r="I4" s="26">
        <v>28046.5332696</v>
      </c>
      <c r="J4" s="27">
        <v>702.43145900000002</v>
      </c>
      <c r="K4" s="25">
        <v>28748.9647286</v>
      </c>
      <c r="L4" s="26">
        <v>218449.53863699999</v>
      </c>
      <c r="M4" s="27">
        <v>36099.417852000101</v>
      </c>
      <c r="N4" s="27">
        <v>737.89851298999895</v>
      </c>
      <c r="O4" s="25">
        <v>255286.85500199001</v>
      </c>
      <c r="P4" s="27">
        <v>283950.48788099998</v>
      </c>
      <c r="Q4" s="25">
        <v>89.91</v>
      </c>
    </row>
    <row r="5" spans="1:17" ht="23.1" customHeight="1" x14ac:dyDescent="0.25">
      <c r="A5" s="43" t="s">
        <v>20</v>
      </c>
      <c r="B5" s="64">
        <v>14477</v>
      </c>
      <c r="C5" s="64">
        <v>30441.030000000101</v>
      </c>
      <c r="D5" s="53">
        <v>15581.846</v>
      </c>
      <c r="E5" s="75">
        <v>2188779</v>
      </c>
      <c r="F5" s="64">
        <v>2321263.2259999998</v>
      </c>
      <c r="G5" s="64">
        <v>2626892.4049999998</v>
      </c>
      <c r="H5" s="84">
        <v>88.37</v>
      </c>
      <c r="I5" s="93">
        <v>33485.190995099998</v>
      </c>
      <c r="J5" s="102">
        <v>966.37648909999996</v>
      </c>
      <c r="K5" s="84">
        <v>34451.567484200001</v>
      </c>
      <c r="L5" s="93">
        <v>206942.170279999</v>
      </c>
      <c r="M5" s="102">
        <v>43718.646769999898</v>
      </c>
      <c r="N5" s="102">
        <v>1000.6319860968</v>
      </c>
      <c r="O5" s="84">
        <v>251661.44903609599</v>
      </c>
      <c r="P5" s="102">
        <v>274499.88553999999</v>
      </c>
      <c r="Q5" s="84">
        <v>91.68</v>
      </c>
    </row>
    <row r="6" spans="1:17" ht="23.1" customHeight="1" x14ac:dyDescent="0.25">
      <c r="A6" s="45" t="s">
        <v>21</v>
      </c>
      <c r="B6" s="29">
        <v>15759</v>
      </c>
      <c r="C6" s="29">
        <v>32658.22</v>
      </c>
      <c r="D6" s="28">
        <v>16826.420999999998</v>
      </c>
      <c r="E6" s="30">
        <v>2168434</v>
      </c>
      <c r="F6" s="29">
        <v>2302689.77</v>
      </c>
      <c r="G6" s="29">
        <v>2822560.0320000001</v>
      </c>
      <c r="H6" s="31">
        <v>81.58</v>
      </c>
      <c r="I6" s="32">
        <v>36734.939071599998</v>
      </c>
      <c r="J6" s="33">
        <v>884.57254999999998</v>
      </c>
      <c r="K6" s="31">
        <v>37619.511621600002</v>
      </c>
      <c r="L6" s="32">
        <v>205952.56064099999</v>
      </c>
      <c r="M6" s="33">
        <v>48575.740919999997</v>
      </c>
      <c r="N6" s="33">
        <v>887.48423283399904</v>
      </c>
      <c r="O6" s="31">
        <v>255415.78579383399</v>
      </c>
      <c r="P6" s="33">
        <v>295078.64688599901</v>
      </c>
      <c r="Q6" s="31">
        <v>86.56</v>
      </c>
    </row>
    <row r="7" spans="1:17" ht="23.1" customHeight="1" x14ac:dyDescent="0.25">
      <c r="A7" s="43" t="s">
        <v>22</v>
      </c>
      <c r="B7" s="64">
        <v>15082</v>
      </c>
      <c r="C7" s="64">
        <v>31209.5799999999</v>
      </c>
      <c r="D7" s="53">
        <v>16082.114</v>
      </c>
      <c r="E7" s="75">
        <v>1949625</v>
      </c>
      <c r="F7" s="64">
        <v>2067622.6329999999</v>
      </c>
      <c r="G7" s="64">
        <v>2692521.4909999999</v>
      </c>
      <c r="H7" s="84">
        <v>76.790000000000006</v>
      </c>
      <c r="I7" s="93">
        <v>17766.239731500002</v>
      </c>
      <c r="J7" s="102">
        <v>988.75666799999999</v>
      </c>
      <c r="K7" s="84">
        <v>18754.9963995</v>
      </c>
      <c r="L7" s="93">
        <v>184229.15777000101</v>
      </c>
      <c r="M7" s="102">
        <v>22332.704660000101</v>
      </c>
      <c r="N7" s="102">
        <v>1056.3462871419999</v>
      </c>
      <c r="O7" s="84">
        <v>207618.20871714299</v>
      </c>
      <c r="P7" s="102">
        <v>255303.97141099899</v>
      </c>
      <c r="Q7" s="84">
        <v>81.319999999999993</v>
      </c>
    </row>
    <row r="8" spans="1:17" ht="30" customHeight="1" x14ac:dyDescent="0.25">
      <c r="A8" s="45" t="s">
        <v>23</v>
      </c>
      <c r="B8" s="29">
        <v>15510</v>
      </c>
      <c r="C8" s="29">
        <v>32343.79</v>
      </c>
      <c r="D8" s="28">
        <v>16385.437000000002</v>
      </c>
      <c r="E8" s="30">
        <v>2144363</v>
      </c>
      <c r="F8" s="29">
        <v>2254574.4980000001</v>
      </c>
      <c r="G8" s="29">
        <v>2777049.926</v>
      </c>
      <c r="H8" s="31">
        <v>81.19</v>
      </c>
      <c r="I8" s="32">
        <v>18967.529457799999</v>
      </c>
      <c r="J8" s="33">
        <v>1205.0279499999999</v>
      </c>
      <c r="K8" s="31">
        <v>20172.557407799999</v>
      </c>
      <c r="L8" s="32">
        <v>201411.15546000001</v>
      </c>
      <c r="M8" s="33">
        <v>23939.603080000001</v>
      </c>
      <c r="N8" s="33">
        <v>1296.3132938834001</v>
      </c>
      <c r="O8" s="31">
        <v>226647.071833883</v>
      </c>
      <c r="P8" s="33">
        <v>266103.83263000002</v>
      </c>
      <c r="Q8" s="31">
        <v>85.17</v>
      </c>
    </row>
    <row r="9" spans="1:17" ht="23.1" customHeight="1" x14ac:dyDescent="0.25">
      <c r="A9" s="43" t="s">
        <v>39</v>
      </c>
      <c r="B9" s="64">
        <v>11427</v>
      </c>
      <c r="C9" s="64">
        <v>23306.39</v>
      </c>
      <c r="D9" s="53">
        <v>12176.800999999999</v>
      </c>
      <c r="E9" s="75">
        <v>1644981</v>
      </c>
      <c r="F9" s="64">
        <v>1751751.155</v>
      </c>
      <c r="G9" s="64">
        <v>2089845.7509999999</v>
      </c>
      <c r="H9" s="84">
        <v>83.82</v>
      </c>
      <c r="I9" s="93">
        <v>16787.700723000002</v>
      </c>
      <c r="J9" s="102">
        <v>931.86644999999999</v>
      </c>
      <c r="K9" s="84">
        <v>17719.567172999999</v>
      </c>
      <c r="L9" s="93">
        <v>157246.11126999999</v>
      </c>
      <c r="M9" s="102">
        <v>20996.225450000002</v>
      </c>
      <c r="N9" s="102">
        <v>1036.7549409999999</v>
      </c>
      <c r="O9" s="84">
        <v>179279.09166100001</v>
      </c>
      <c r="P9" s="102">
        <v>204613.70757</v>
      </c>
      <c r="Q9" s="84">
        <v>87.62</v>
      </c>
    </row>
    <row r="10" spans="1:17" ht="23.1" customHeight="1" x14ac:dyDescent="0.25">
      <c r="A10" s="45" t="s">
        <v>24</v>
      </c>
      <c r="B10" s="29">
        <v>11476</v>
      </c>
      <c r="C10" s="29">
        <v>23277.970000000201</v>
      </c>
      <c r="D10" s="28">
        <v>12158.647000000001</v>
      </c>
      <c r="E10" s="30">
        <v>1572677</v>
      </c>
      <c r="F10" s="29">
        <v>1692152.216</v>
      </c>
      <c r="G10" s="29">
        <v>2083251.3770000001</v>
      </c>
      <c r="H10" s="31">
        <v>81.23</v>
      </c>
      <c r="I10" s="32">
        <v>17879.975591499999</v>
      </c>
      <c r="J10" s="33">
        <v>897.39884099999995</v>
      </c>
      <c r="K10" s="31">
        <v>18777.374432500001</v>
      </c>
      <c r="L10" s="32">
        <v>151775.448164</v>
      </c>
      <c r="M10" s="33">
        <v>22637.115909999899</v>
      </c>
      <c r="N10" s="33">
        <v>935.06223025600002</v>
      </c>
      <c r="O10" s="31">
        <v>175347.626304256</v>
      </c>
      <c r="P10" s="33">
        <v>204918.29259600001</v>
      </c>
      <c r="Q10" s="31">
        <v>85.57</v>
      </c>
    </row>
    <row r="11" spans="1:17" ht="23.1" customHeight="1" x14ac:dyDescent="0.25">
      <c r="A11" s="43" t="s">
        <v>25</v>
      </c>
      <c r="B11" s="64">
        <v>14472</v>
      </c>
      <c r="C11" s="64">
        <v>29377.370000000101</v>
      </c>
      <c r="D11" s="53">
        <v>15288.859</v>
      </c>
      <c r="E11" s="75">
        <v>1819811</v>
      </c>
      <c r="F11" s="64">
        <v>1925344.037</v>
      </c>
      <c r="G11" s="64">
        <v>2599592.4309999999</v>
      </c>
      <c r="H11" s="84">
        <v>74.06</v>
      </c>
      <c r="I11" s="93">
        <v>19508.752180799998</v>
      </c>
      <c r="J11" s="102">
        <v>829.28670599999998</v>
      </c>
      <c r="K11" s="84">
        <v>20338.038886800001</v>
      </c>
      <c r="L11" s="93">
        <v>172060.63079000101</v>
      </c>
      <c r="M11" s="102">
        <v>24845.689729999998</v>
      </c>
      <c r="N11" s="102">
        <v>810.20608153600199</v>
      </c>
      <c r="O11" s="84">
        <v>197716.52660153701</v>
      </c>
      <c r="P11" s="102">
        <v>249497.687714</v>
      </c>
      <c r="Q11" s="84">
        <v>79.25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113638</v>
      </c>
      <c r="C16" s="36">
        <f t="shared" si="0"/>
        <v>235277.80000000022</v>
      </c>
      <c r="D16" s="36">
        <f t="shared" si="0"/>
        <v>121104.625</v>
      </c>
      <c r="E16" s="36">
        <f t="shared" si="0"/>
        <v>15786144</v>
      </c>
      <c r="F16" s="36">
        <f t="shared" si="0"/>
        <v>16743184.302999999</v>
      </c>
      <c r="G16" s="36">
        <f t="shared" si="0"/>
        <v>20496147.152999997</v>
      </c>
      <c r="H16" s="37">
        <f>IFERROR(F16/G16*100,"")</f>
        <v>81.689422787683867</v>
      </c>
      <c r="I16" s="37">
        <f t="shared" ref="I16:P16" si="1">IFERROR(SUM(I4:I15),"")</f>
        <v>189176.86102089999</v>
      </c>
      <c r="J16" s="37">
        <f t="shared" si="1"/>
        <v>7405.7171131000005</v>
      </c>
      <c r="K16" s="37">
        <f t="shared" si="1"/>
        <v>196582.57813400001</v>
      </c>
      <c r="L16" s="37">
        <f t="shared" si="1"/>
        <v>1498066.7730120011</v>
      </c>
      <c r="M16" s="37">
        <f t="shared" si="1"/>
        <v>243145.14437200001</v>
      </c>
      <c r="N16" s="37">
        <f t="shared" si="1"/>
        <v>7760.697565738199</v>
      </c>
      <c r="O16" s="37">
        <f t="shared" si="1"/>
        <v>1748972.6149497391</v>
      </c>
      <c r="P16" s="38">
        <f t="shared" si="1"/>
        <v>2033966.5122279981</v>
      </c>
      <c r="Q16" s="38">
        <f>IFERROR(O16/P16*100,"")</f>
        <v>85.988269936358094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>
        <v>4976</v>
      </c>
      <c r="C23" s="8">
        <v>33884.99</v>
      </c>
      <c r="D23" s="9">
        <v>23050.198</v>
      </c>
      <c r="E23" s="7">
        <v>920748</v>
      </c>
      <c r="F23" s="8">
        <v>4850136.7850000001</v>
      </c>
      <c r="G23" s="8">
        <v>5902119.9450000003</v>
      </c>
      <c r="H23" s="10">
        <v>82.18</v>
      </c>
      <c r="I23" s="11">
        <v>43886.4098734</v>
      </c>
      <c r="J23" s="11">
        <v>258.22199999999998</v>
      </c>
      <c r="K23" s="11">
        <v>44144.631873400001</v>
      </c>
      <c r="L23" s="12">
        <v>512149.44347999903</v>
      </c>
      <c r="M23" s="11">
        <v>260280.674784</v>
      </c>
      <c r="N23" s="11">
        <v>1750.7800159000001</v>
      </c>
      <c r="O23" s="14">
        <v>774180.89827989903</v>
      </c>
      <c r="P23" s="12">
        <v>854463.42456479999</v>
      </c>
      <c r="Q23" s="14">
        <v>90.6</v>
      </c>
    </row>
    <row r="24" spans="1:17" ht="23.1" customHeight="1" x14ac:dyDescent="0.25">
      <c r="A24" s="51" t="s">
        <v>20</v>
      </c>
      <c r="B24" s="51">
        <v>4483</v>
      </c>
      <c r="C24" s="50">
        <v>30460.289999999899</v>
      </c>
      <c r="D24" s="52">
        <v>20751.951000000001</v>
      </c>
      <c r="E24" s="51">
        <v>813328</v>
      </c>
      <c r="F24" s="50">
        <v>4265463.66</v>
      </c>
      <c r="G24" s="50">
        <v>5287627.8650000002</v>
      </c>
      <c r="H24" s="54">
        <v>80.67</v>
      </c>
      <c r="I24" s="55">
        <v>48056.282407699997</v>
      </c>
      <c r="J24" s="55">
        <v>250.07839999999999</v>
      </c>
      <c r="K24" s="55">
        <v>48306.360807700003</v>
      </c>
      <c r="L24" s="56">
        <v>447183.70973999897</v>
      </c>
      <c r="M24" s="55">
        <v>302619.48251</v>
      </c>
      <c r="N24" s="55">
        <v>1721.5880517999999</v>
      </c>
      <c r="O24" s="54">
        <v>751524.7803018</v>
      </c>
      <c r="P24" s="56">
        <v>829544.65400999901</v>
      </c>
      <c r="Q24" s="54">
        <v>90.59</v>
      </c>
    </row>
    <row r="25" spans="1:17" ht="23.1" customHeight="1" x14ac:dyDescent="0.25">
      <c r="A25" s="15" t="s">
        <v>21</v>
      </c>
      <c r="B25" s="15">
        <v>4154</v>
      </c>
      <c r="C25" s="6">
        <v>31693.19</v>
      </c>
      <c r="D25" s="16">
        <v>21013.506000000001</v>
      </c>
      <c r="E25" s="15">
        <v>778767</v>
      </c>
      <c r="F25" s="6">
        <v>4634339.5860000001</v>
      </c>
      <c r="G25" s="6">
        <v>5421117.7139999997</v>
      </c>
      <c r="H25" s="10">
        <v>85.49</v>
      </c>
      <c r="I25" s="17">
        <v>60176.457404399996</v>
      </c>
      <c r="J25" s="17">
        <v>245.62440000000001</v>
      </c>
      <c r="K25" s="17">
        <v>60422.081804399997</v>
      </c>
      <c r="L25" s="18">
        <v>489340.41685799998</v>
      </c>
      <c r="M25" s="17">
        <v>432401.10494000098</v>
      </c>
      <c r="N25" s="17">
        <v>2113.6386161</v>
      </c>
      <c r="O25" s="10">
        <v>923855.16041410004</v>
      </c>
      <c r="P25" s="18">
        <v>983145.61406999803</v>
      </c>
      <c r="Q25" s="10">
        <v>93.97</v>
      </c>
    </row>
    <row r="26" spans="1:17" ht="23.1" customHeight="1" x14ac:dyDescent="0.25">
      <c r="A26" s="51" t="s">
        <v>22</v>
      </c>
      <c r="B26" s="51">
        <v>3934</v>
      </c>
      <c r="C26" s="50">
        <v>30194.1700000001</v>
      </c>
      <c r="D26" s="52">
        <v>20040.978999999999</v>
      </c>
      <c r="E26" s="51">
        <v>663709</v>
      </c>
      <c r="F26" s="50">
        <v>3832220.514</v>
      </c>
      <c r="G26" s="50">
        <v>5195097.4970000004</v>
      </c>
      <c r="H26" s="54">
        <v>73.77</v>
      </c>
      <c r="I26" s="55">
        <v>17773.009242600001</v>
      </c>
      <c r="J26" s="55">
        <v>317.0496</v>
      </c>
      <c r="K26" s="55">
        <v>18090.058842599999</v>
      </c>
      <c r="L26" s="56">
        <v>400993.35476999998</v>
      </c>
      <c r="M26" s="55">
        <v>127204.18097</v>
      </c>
      <c r="N26" s="55">
        <v>2770.6855869999999</v>
      </c>
      <c r="O26" s="54">
        <v>530968.22132699995</v>
      </c>
      <c r="P26" s="56">
        <v>634501.93911000097</v>
      </c>
      <c r="Q26" s="54">
        <v>83.68</v>
      </c>
    </row>
    <row r="27" spans="1:17" ht="30" customHeight="1" x14ac:dyDescent="0.25">
      <c r="A27" s="15" t="s">
        <v>23</v>
      </c>
      <c r="B27" s="15">
        <v>3957</v>
      </c>
      <c r="C27" s="6">
        <v>28643.02</v>
      </c>
      <c r="D27" s="16">
        <v>19053.648000000001</v>
      </c>
      <c r="E27" s="15">
        <v>668908</v>
      </c>
      <c r="F27" s="6">
        <v>3577107.2379999999</v>
      </c>
      <c r="G27" s="6">
        <v>4875203.7340000002</v>
      </c>
      <c r="H27" s="10">
        <v>73.37</v>
      </c>
      <c r="I27" s="17">
        <v>18929.443009300001</v>
      </c>
      <c r="J27" s="17">
        <v>330.04930000000002</v>
      </c>
      <c r="K27" s="17">
        <v>19259.4923093</v>
      </c>
      <c r="L27" s="18">
        <v>371162.50348000001</v>
      </c>
      <c r="M27" s="17">
        <v>128832.71202000001</v>
      </c>
      <c r="N27" s="17">
        <v>2692.6930837999998</v>
      </c>
      <c r="O27" s="10">
        <v>502687.90858380002</v>
      </c>
      <c r="P27" s="18">
        <v>601012.94337999902</v>
      </c>
      <c r="Q27" s="10">
        <v>83.64</v>
      </c>
    </row>
    <row r="28" spans="1:17" ht="23.1" customHeight="1" x14ac:dyDescent="0.25">
      <c r="A28" s="51" t="s">
        <v>39</v>
      </c>
      <c r="B28" s="51">
        <v>3519</v>
      </c>
      <c r="C28" s="50">
        <v>24841.85</v>
      </c>
      <c r="D28" s="52">
        <v>16712.288</v>
      </c>
      <c r="E28" s="51">
        <v>595245</v>
      </c>
      <c r="F28" s="50">
        <v>3055234.2230000002</v>
      </c>
      <c r="G28" s="50">
        <v>4240633.801</v>
      </c>
      <c r="H28" s="54">
        <v>72.05</v>
      </c>
      <c r="I28" s="55">
        <v>17854.745714000001</v>
      </c>
      <c r="J28" s="55">
        <v>353.82150000000001</v>
      </c>
      <c r="K28" s="55">
        <v>18208.567213999999</v>
      </c>
      <c r="L28" s="56">
        <v>315495.06503</v>
      </c>
      <c r="M28" s="55">
        <v>117794.6195</v>
      </c>
      <c r="N28" s="55">
        <v>2956.773369</v>
      </c>
      <c r="O28" s="54">
        <v>436246.45789899997</v>
      </c>
      <c r="P28" s="56">
        <v>525750.85066999996</v>
      </c>
      <c r="Q28" s="54">
        <v>82.98</v>
      </c>
    </row>
    <row r="29" spans="1:17" ht="23.1" customHeight="1" x14ac:dyDescent="0.25">
      <c r="A29" s="15" t="s">
        <v>40</v>
      </c>
      <c r="B29" s="15">
        <v>3520</v>
      </c>
      <c r="C29" s="6">
        <v>25461.02</v>
      </c>
      <c r="D29" s="16">
        <v>17097.017</v>
      </c>
      <c r="E29" s="15">
        <v>610895</v>
      </c>
      <c r="F29" s="6">
        <v>3203012.0210000002</v>
      </c>
      <c r="G29" s="6">
        <v>4373707.6919999998</v>
      </c>
      <c r="H29" s="10">
        <v>73.23</v>
      </c>
      <c r="I29" s="17">
        <v>17359.121745100001</v>
      </c>
      <c r="J29" s="17">
        <v>372.97140000000002</v>
      </c>
      <c r="K29" s="17">
        <v>17732.0931451</v>
      </c>
      <c r="L29" s="18">
        <v>330436.83957399998</v>
      </c>
      <c r="M29" s="17">
        <v>114047.72037</v>
      </c>
      <c r="N29" s="17">
        <v>3193.0797957999898</v>
      </c>
      <c r="O29" s="10">
        <v>447677.63973980001</v>
      </c>
      <c r="P29" s="18">
        <v>535798.821560001</v>
      </c>
      <c r="Q29" s="10">
        <v>83.55</v>
      </c>
    </row>
    <row r="30" spans="1:17" ht="23.1" customHeight="1" x14ac:dyDescent="0.25">
      <c r="A30" s="51" t="s">
        <v>25</v>
      </c>
      <c r="B30" s="51">
        <v>3613</v>
      </c>
      <c r="C30" s="50">
        <v>26171.37</v>
      </c>
      <c r="D30" s="52">
        <v>17561.162</v>
      </c>
      <c r="E30" s="51">
        <v>616909</v>
      </c>
      <c r="F30" s="50">
        <v>3281439.5180000002</v>
      </c>
      <c r="G30" s="50">
        <v>4493864.9670000002</v>
      </c>
      <c r="H30" s="54">
        <v>73.02</v>
      </c>
      <c r="I30" s="55">
        <v>17775.727699200001</v>
      </c>
      <c r="J30" s="55">
        <v>409.40460000000002</v>
      </c>
      <c r="K30" s="55">
        <v>18185.132299199999</v>
      </c>
      <c r="L30" s="56">
        <v>340853.06894000003</v>
      </c>
      <c r="M30" s="55">
        <v>116821.16679</v>
      </c>
      <c r="N30" s="55">
        <v>3090.0801864999999</v>
      </c>
      <c r="O30" s="54">
        <v>460764.3159165</v>
      </c>
      <c r="P30" s="56">
        <v>552243.41963000002</v>
      </c>
      <c r="Q30" s="54">
        <v>83.44</v>
      </c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32156</v>
      </c>
      <c r="C35" s="3">
        <f t="shared" si="2"/>
        <v>231349.9</v>
      </c>
      <c r="D35" s="3">
        <f t="shared" si="2"/>
        <v>155280.74900000001</v>
      </c>
      <c r="E35" s="3">
        <f t="shared" si="2"/>
        <v>5668509</v>
      </c>
      <c r="F35" s="3">
        <f t="shared" si="2"/>
        <v>30698953.545000002</v>
      </c>
      <c r="G35" s="3">
        <f t="shared" si="2"/>
        <v>39789373.215000004</v>
      </c>
      <c r="H35" s="4">
        <f>IFERROR(F35/G35*100,"")</f>
        <v>77.153649491083087</v>
      </c>
      <c r="I35" s="5">
        <f t="shared" ref="I35:P35" si="3">IFERROR(SUM(I23:I34),"")</f>
        <v>241811.19709570002</v>
      </c>
      <c r="J35" s="5">
        <f t="shared" si="3"/>
        <v>2537.2212</v>
      </c>
      <c r="K35" s="5">
        <f t="shared" si="3"/>
        <v>244348.41829569999</v>
      </c>
      <c r="L35" s="5">
        <f t="shared" si="3"/>
        <v>3207614.4018719983</v>
      </c>
      <c r="M35" s="5">
        <f t="shared" si="3"/>
        <v>1600001.661884001</v>
      </c>
      <c r="N35" s="5">
        <f t="shared" si="3"/>
        <v>20289.31870589999</v>
      </c>
      <c r="O35" s="5">
        <f t="shared" si="3"/>
        <v>4827905.382461899</v>
      </c>
      <c r="P35" s="5">
        <f t="shared" si="3"/>
        <v>5516461.6669947989</v>
      </c>
      <c r="Q35" s="5">
        <f>IFERROR(O35/P35*100,"")</f>
        <v>87.518153372612758</v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141</v>
      </c>
      <c r="C42" s="104">
        <v>184.48</v>
      </c>
      <c r="D42" s="105">
        <v>69.174000000000007</v>
      </c>
      <c r="E42" s="103">
        <v>20894</v>
      </c>
      <c r="F42" s="104">
        <v>10687.918</v>
      </c>
      <c r="G42" s="104">
        <v>12003.896000000001</v>
      </c>
      <c r="H42" s="106">
        <v>89.04</v>
      </c>
      <c r="I42" s="107">
        <v>3.1249091</v>
      </c>
      <c r="J42" s="108">
        <v>0</v>
      </c>
      <c r="K42" s="106">
        <v>3.1249091</v>
      </c>
      <c r="L42" s="107">
        <v>1028.346624</v>
      </c>
      <c r="M42" s="108">
        <v>1.9379519999999999</v>
      </c>
      <c r="N42" s="108">
        <v>0</v>
      </c>
      <c r="O42" s="106">
        <v>1030.284576</v>
      </c>
      <c r="P42" s="107">
        <v>1132.9306919999999</v>
      </c>
      <c r="Q42" s="106">
        <v>90.94</v>
      </c>
    </row>
    <row r="43" spans="1:17" ht="25.5" customHeight="1" x14ac:dyDescent="0.25">
      <c r="A43" s="47" t="s">
        <v>20</v>
      </c>
      <c r="B43" s="63">
        <v>184</v>
      </c>
      <c r="C43" s="65">
        <v>237.6</v>
      </c>
      <c r="D43" s="66">
        <v>95.171999999999997</v>
      </c>
      <c r="E43" s="63">
        <v>27293</v>
      </c>
      <c r="F43" s="65">
        <v>14705.511</v>
      </c>
      <c r="G43" s="65">
        <v>16440.88</v>
      </c>
      <c r="H43" s="67">
        <v>89.44</v>
      </c>
      <c r="I43" s="68">
        <v>0</v>
      </c>
      <c r="J43" s="69">
        <v>0</v>
      </c>
      <c r="K43" s="67">
        <v>0</v>
      </c>
      <c r="L43" s="68">
        <v>1410.6403299999999</v>
      </c>
      <c r="M43" s="69">
        <v>0</v>
      </c>
      <c r="N43" s="69">
        <v>0</v>
      </c>
      <c r="O43" s="67">
        <v>1410.6403299999999</v>
      </c>
      <c r="P43" s="68">
        <v>1545.9990600000001</v>
      </c>
      <c r="Q43" s="67">
        <v>91.24</v>
      </c>
    </row>
    <row r="44" spans="1:17" ht="25.5" customHeight="1" x14ac:dyDescent="0.25">
      <c r="A44" s="46" t="s">
        <v>21</v>
      </c>
      <c r="B44" s="109">
        <v>231</v>
      </c>
      <c r="C44" s="110">
        <v>306.60000000000002</v>
      </c>
      <c r="D44" s="111">
        <v>122.63200000000001</v>
      </c>
      <c r="E44" s="109">
        <v>33926</v>
      </c>
      <c r="F44" s="110">
        <v>18529.223000000002</v>
      </c>
      <c r="G44" s="110">
        <v>21158.655999999999</v>
      </c>
      <c r="H44" s="112">
        <v>87.57</v>
      </c>
      <c r="I44" s="113">
        <v>0.33250000000000002</v>
      </c>
      <c r="J44" s="114">
        <v>0</v>
      </c>
      <c r="K44" s="112">
        <v>0.33250000000000002</v>
      </c>
      <c r="L44" s="113">
        <v>1765.90291</v>
      </c>
      <c r="M44" s="114">
        <v>0.20854</v>
      </c>
      <c r="N44" s="114">
        <v>0</v>
      </c>
      <c r="O44" s="112">
        <v>1766.1114500000001</v>
      </c>
      <c r="P44" s="113">
        <v>1971.20721</v>
      </c>
      <c r="Q44" s="112">
        <v>89.6</v>
      </c>
    </row>
    <row r="45" spans="1:17" ht="25.5" customHeight="1" x14ac:dyDescent="0.25">
      <c r="A45" s="47" t="s">
        <v>22</v>
      </c>
      <c r="B45" s="63">
        <v>237</v>
      </c>
      <c r="C45" s="70">
        <v>321.43</v>
      </c>
      <c r="D45" s="66">
        <v>126.54</v>
      </c>
      <c r="E45" s="63">
        <v>34108</v>
      </c>
      <c r="F45" s="65">
        <v>19050.708999999999</v>
      </c>
      <c r="G45" s="65">
        <v>21774.448</v>
      </c>
      <c r="H45" s="67">
        <v>87.49</v>
      </c>
      <c r="I45" s="68">
        <v>0</v>
      </c>
      <c r="J45" s="69">
        <v>0</v>
      </c>
      <c r="K45" s="67">
        <v>0</v>
      </c>
      <c r="L45" s="68">
        <v>1812.78873</v>
      </c>
      <c r="M45" s="69">
        <v>0</v>
      </c>
      <c r="N45" s="69">
        <v>0</v>
      </c>
      <c r="O45" s="67">
        <v>1812.78873</v>
      </c>
      <c r="P45" s="68">
        <v>2025.24037</v>
      </c>
      <c r="Q45" s="67">
        <v>89.51</v>
      </c>
    </row>
    <row r="46" spans="1:17" ht="25.5" customHeight="1" x14ac:dyDescent="0.25">
      <c r="A46" s="46" t="s">
        <v>23</v>
      </c>
      <c r="B46" s="109">
        <v>244</v>
      </c>
      <c r="C46" s="115">
        <v>346.55</v>
      </c>
      <c r="D46" s="111">
        <v>130.02799999999999</v>
      </c>
      <c r="E46" s="109">
        <v>37447</v>
      </c>
      <c r="F46" s="110">
        <v>20741.036</v>
      </c>
      <c r="G46" s="110">
        <v>22433.135999999999</v>
      </c>
      <c r="H46" s="112">
        <v>92.46</v>
      </c>
      <c r="I46" s="113">
        <v>0.1</v>
      </c>
      <c r="J46" s="114">
        <v>0</v>
      </c>
      <c r="K46" s="112">
        <v>0.1</v>
      </c>
      <c r="L46" s="113">
        <v>1963.33133</v>
      </c>
      <c r="M46" s="114">
        <v>6.1899999999999997E-2</v>
      </c>
      <c r="N46" s="114">
        <v>0</v>
      </c>
      <c r="O46" s="112">
        <v>1963.3932299999999</v>
      </c>
      <c r="P46" s="113">
        <v>2095.377</v>
      </c>
      <c r="Q46" s="112">
        <v>93.7</v>
      </c>
    </row>
    <row r="47" spans="1:17" ht="25.5" customHeight="1" x14ac:dyDescent="0.25">
      <c r="A47" s="47" t="s">
        <v>39</v>
      </c>
      <c r="B47" s="71">
        <v>213</v>
      </c>
      <c r="C47" s="72">
        <v>297.8</v>
      </c>
      <c r="D47" s="66">
        <v>111.679</v>
      </c>
      <c r="E47" s="71">
        <v>33187</v>
      </c>
      <c r="F47" s="72">
        <v>17719.137999999999</v>
      </c>
      <c r="G47" s="72">
        <v>19193.66</v>
      </c>
      <c r="H47" s="67">
        <v>92.32</v>
      </c>
      <c r="I47" s="73">
        <v>0</v>
      </c>
      <c r="J47" s="74">
        <v>0</v>
      </c>
      <c r="K47" s="67">
        <v>0</v>
      </c>
      <c r="L47" s="73">
        <v>1679.73028</v>
      </c>
      <c r="M47" s="74">
        <v>0</v>
      </c>
      <c r="N47" s="74">
        <v>0</v>
      </c>
      <c r="O47" s="67">
        <v>1679.73028</v>
      </c>
      <c r="P47" s="73">
        <v>1794.7429199999999</v>
      </c>
      <c r="Q47" s="67">
        <v>93.59</v>
      </c>
    </row>
    <row r="48" spans="1:17" ht="25.5" customHeight="1" x14ac:dyDescent="0.25">
      <c r="A48" s="46" t="s">
        <v>40</v>
      </c>
      <c r="B48" s="116">
        <v>186</v>
      </c>
      <c r="C48" s="117">
        <v>264.08999999999997</v>
      </c>
      <c r="D48" s="118">
        <v>96.915999999999997</v>
      </c>
      <c r="E48" s="116">
        <v>27144</v>
      </c>
      <c r="F48" s="117">
        <v>14218.629000000001</v>
      </c>
      <c r="G48" s="117">
        <v>16425.903999999999</v>
      </c>
      <c r="H48" s="112">
        <v>86.56</v>
      </c>
      <c r="I48" s="119">
        <v>5.2999999999999999E-2</v>
      </c>
      <c r="J48" s="120">
        <v>0</v>
      </c>
      <c r="K48" s="112">
        <v>5.2999999999999999E-2</v>
      </c>
      <c r="L48" s="119">
        <v>1351.70326</v>
      </c>
      <c r="M48" s="120">
        <v>2.198E-2</v>
      </c>
      <c r="N48" s="120">
        <v>0</v>
      </c>
      <c r="O48" s="112">
        <v>1351.72524</v>
      </c>
      <c r="P48" s="119">
        <v>1523.8926200000001</v>
      </c>
      <c r="Q48" s="112">
        <v>88.7</v>
      </c>
    </row>
    <row r="49" spans="1:17" ht="25.5" customHeight="1" x14ac:dyDescent="0.25">
      <c r="A49" s="47" t="s">
        <v>25</v>
      </c>
      <c r="B49" s="71">
        <v>206</v>
      </c>
      <c r="C49" s="72">
        <v>284.02</v>
      </c>
      <c r="D49" s="76">
        <v>107.58799999999999</v>
      </c>
      <c r="E49" s="71">
        <v>27707</v>
      </c>
      <c r="F49" s="72">
        <v>14538.14</v>
      </c>
      <c r="G49" s="72">
        <v>17644.432000000001</v>
      </c>
      <c r="H49" s="67">
        <v>82.4</v>
      </c>
      <c r="I49" s="73">
        <v>2.7E-2</v>
      </c>
      <c r="J49" s="74">
        <v>0</v>
      </c>
      <c r="K49" s="67">
        <v>2.7E-2</v>
      </c>
      <c r="L49" s="73">
        <v>1387.88051</v>
      </c>
      <c r="M49" s="74">
        <v>1.8950000000000002E-2</v>
      </c>
      <c r="N49" s="74">
        <v>0</v>
      </c>
      <c r="O49" s="67">
        <v>1387.8994600000001</v>
      </c>
      <c r="P49" s="73">
        <v>1630.1902500000001</v>
      </c>
      <c r="Q49" s="67">
        <v>85.14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1642</v>
      </c>
      <c r="C54" s="123">
        <f t="shared" si="4"/>
        <v>2242.5699999999997</v>
      </c>
      <c r="D54" s="123">
        <f t="shared" si="4"/>
        <v>859.72900000000004</v>
      </c>
      <c r="E54" s="123">
        <f t="shared" si="4"/>
        <v>241706</v>
      </c>
      <c r="F54" s="123">
        <f t="shared" si="4"/>
        <v>130190.304</v>
      </c>
      <c r="G54" s="123">
        <f t="shared" si="4"/>
        <v>147075.01199999999</v>
      </c>
      <c r="H54" s="124">
        <f>IFERROR(F54/G54*100,"")</f>
        <v>88.519662333938825</v>
      </c>
      <c r="I54" s="124">
        <f t="shared" ref="I54:P54" si="5">IFERROR(SUM(I42:I53),"")</f>
        <v>3.6374091000000002</v>
      </c>
      <c r="J54" s="124">
        <f t="shared" si="5"/>
        <v>0</v>
      </c>
      <c r="K54" s="124">
        <f t="shared" si="5"/>
        <v>3.6374091000000002</v>
      </c>
      <c r="L54" s="124">
        <f t="shared" si="5"/>
        <v>12400.323973999999</v>
      </c>
      <c r="M54" s="124">
        <f t="shared" si="5"/>
        <v>2.2493219999999998</v>
      </c>
      <c r="N54" s="124">
        <f t="shared" si="5"/>
        <v>0</v>
      </c>
      <c r="O54" s="124">
        <f t="shared" si="5"/>
        <v>12402.573296</v>
      </c>
      <c r="P54" s="125">
        <f t="shared" si="5"/>
        <v>13719.580122000001</v>
      </c>
      <c r="Q54" s="124">
        <f>IFERROR(O54/P54*100,"")</f>
        <v>90.400531107448998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2</v>
      </c>
      <c r="C62" s="72">
        <v>15.04</v>
      </c>
      <c r="D62" s="76">
        <v>7.51</v>
      </c>
      <c r="E62" s="71">
        <v>206</v>
      </c>
      <c r="F62" s="72">
        <v>819.84</v>
      </c>
      <c r="G62" s="72">
        <v>1788.34</v>
      </c>
      <c r="H62" s="67">
        <v>45.84</v>
      </c>
      <c r="I62" s="73">
        <v>0</v>
      </c>
      <c r="J62" s="74">
        <v>0</v>
      </c>
      <c r="K62" s="74">
        <v>0</v>
      </c>
      <c r="L62" s="73">
        <v>77.311809999999994</v>
      </c>
      <c r="M62" s="74">
        <v>0</v>
      </c>
      <c r="N62" s="74">
        <v>0</v>
      </c>
      <c r="O62" s="67">
        <v>77.311809999999994</v>
      </c>
      <c r="P62" s="74">
        <v>152.85480999999999</v>
      </c>
      <c r="Q62" s="67">
        <v>50.58</v>
      </c>
    </row>
    <row r="63" spans="1:17" ht="24.75" customHeight="1" x14ac:dyDescent="0.25">
      <c r="A63" s="48" t="s">
        <v>21</v>
      </c>
      <c r="B63" s="96">
        <v>1</v>
      </c>
      <c r="C63" s="97">
        <v>10.32</v>
      </c>
      <c r="D63" s="98">
        <v>5.86</v>
      </c>
      <c r="E63" s="96">
        <v>114</v>
      </c>
      <c r="F63" s="97">
        <v>668.04</v>
      </c>
      <c r="G63" s="97">
        <v>1517.74</v>
      </c>
      <c r="H63" s="99">
        <v>44.02</v>
      </c>
      <c r="I63" s="100">
        <v>0</v>
      </c>
      <c r="J63" s="101">
        <v>0</v>
      </c>
      <c r="K63" s="101">
        <v>0</v>
      </c>
      <c r="L63" s="100">
        <v>65.256960000000007</v>
      </c>
      <c r="M63" s="101">
        <v>0</v>
      </c>
      <c r="N63" s="101">
        <v>0</v>
      </c>
      <c r="O63" s="99">
        <v>65.256960000000007</v>
      </c>
      <c r="P63" s="101">
        <v>131.53355999999999</v>
      </c>
      <c r="Q63" s="99">
        <v>49.61</v>
      </c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3</v>
      </c>
      <c r="C73" s="87">
        <f t="shared" si="6"/>
        <v>25.36</v>
      </c>
      <c r="D73" s="87">
        <f t="shared" si="6"/>
        <v>13.370000000000001</v>
      </c>
      <c r="E73" s="87">
        <f t="shared" si="6"/>
        <v>320</v>
      </c>
      <c r="F73" s="87">
        <f t="shared" si="6"/>
        <v>1487.88</v>
      </c>
      <c r="G73" s="87">
        <f t="shared" si="6"/>
        <v>3306.08</v>
      </c>
      <c r="H73" s="88">
        <f>IFERROR(F73/G73*100,"")</f>
        <v>45.004355611479461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142.56877</v>
      </c>
      <c r="M73" s="88">
        <f t="shared" si="7"/>
        <v>0</v>
      </c>
      <c r="N73" s="88">
        <f t="shared" si="7"/>
        <v>0</v>
      </c>
      <c r="O73" s="88">
        <f t="shared" si="7"/>
        <v>142.56877</v>
      </c>
      <c r="P73" s="88">
        <f t="shared" si="7"/>
        <v>284.38837000000001</v>
      </c>
      <c r="Q73" s="88">
        <f>IFERROR(O73/P73*100,"")</f>
        <v>50.131716005123565</v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2026-09-14T05:34:41Z</dcterms:modified>
</cp:coreProperties>
</file>