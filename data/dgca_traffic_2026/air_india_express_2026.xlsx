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Mukesh office data\Nitin Soni, JSO\August 2026\August 2026 Monthly Data to be uploaded\Excel August 2026\"/>
    </mc:Choice>
  </mc:AlternateContent>
  <bookViews>
    <workbookView xWindow="0" yWindow="0" windowWidth="21570" windowHeight="8055"/>
  </bookViews>
  <sheets>
    <sheet name="Monthly_Template" sheetId="1" r:id="rId1"/>
  </sheets>
  <externalReferences>
    <externalReference r:id="rId2"/>
  </externalReferences>
  <definedNames>
    <definedName name="\a" localSheetId="0">Monthly_Template!#REF!</definedName>
    <definedName name="\a">#REF!</definedName>
    <definedName name="\b" localSheetId="0">Monthly_Template!#REF!</definedName>
    <definedName name="\b">#REF!</definedName>
    <definedName name="\c">#N/A</definedName>
    <definedName name="\d" localSheetId="0">Monthly_Template!#REF!</definedName>
    <definedName name="\d">#REF!</definedName>
    <definedName name="\e" localSheetId="0">Monthly_Template!#REF!</definedName>
    <definedName name="\e">#REF!</definedName>
    <definedName name="\f" localSheetId="0">Monthly_Template!#REF!</definedName>
    <definedName name="\f">#REF!</definedName>
    <definedName name="\g" localSheetId="0">Monthly_Template!#REF!</definedName>
    <definedName name="\g">#REF!</definedName>
    <definedName name="\h" localSheetId="0">Monthly_Template!#REF!</definedName>
    <definedName name="\h">#REF!</definedName>
    <definedName name="\i" localSheetId="0">Monthly_Template!#REF!</definedName>
    <definedName name="\i">#REF!</definedName>
    <definedName name="\j" localSheetId="0">Monthly_Template!#REF!</definedName>
    <definedName name="\j">#REF!</definedName>
    <definedName name="\k" localSheetId="0">Monthly_Template!#REF!</definedName>
    <definedName name="\k">#REF!</definedName>
    <definedName name="\l">#N/A</definedName>
    <definedName name="\m" localSheetId="0">Monthly_Template!#REF!</definedName>
    <definedName name="\m">#REF!</definedName>
    <definedName name="\p" localSheetId="0">Monthly_Template!#REF!</definedName>
    <definedName name="\p">#REF!</definedName>
    <definedName name="\x" localSheetId="0">Monthly_Template!$C$172</definedName>
    <definedName name="\x">#REF!</definedName>
    <definedName name="_Regression_Int" localSheetId="0" hidden="1">1</definedName>
    <definedName name="airline">[1]Interface!$AT$7:$AT$34</definedName>
    <definedName name="data">[1]Interface!$AR$7:$AR$21</definedName>
    <definedName name="_xlnm.Print_Area" localSheetId="0">Monthly_Template!$A$1:$Q$76</definedName>
    <definedName name="Print_Area_MI" localSheetId="0">Monthly_Template!$A$1:$Q$17</definedName>
    <definedName name="row">[1]Interface!$AQ$7:$AQ$14</definedName>
    <definedName name="toatalpvt">#REF!</definedName>
    <definedName name="totalnat">#REF!</definedName>
    <definedName name="totalpvt">#REF!</definedName>
  </definedNames>
  <calcPr calcId="152511" iterate="1"/>
</workbook>
</file>

<file path=xl/calcChain.xml><?xml version="1.0" encoding="utf-8"?>
<calcChain xmlns="http://schemas.openxmlformats.org/spreadsheetml/2006/main">
  <c r="P73" i="1" l="1"/>
  <c r="O73" i="1"/>
  <c r="N73" i="1"/>
  <c r="M73" i="1"/>
  <c r="L73" i="1"/>
  <c r="K73" i="1"/>
  <c r="J73" i="1"/>
  <c r="I73" i="1"/>
  <c r="G73" i="1"/>
  <c r="F73" i="1"/>
  <c r="H73" i="1" s="1"/>
  <c r="E73" i="1"/>
  <c r="D73" i="1"/>
  <c r="C73" i="1"/>
  <c r="B73" i="1"/>
  <c r="P54" i="1"/>
  <c r="O54" i="1"/>
  <c r="Q54" i="1" s="1"/>
  <c r="N54" i="1"/>
  <c r="M54" i="1"/>
  <c r="L54" i="1"/>
  <c r="K54" i="1"/>
  <c r="J54" i="1"/>
  <c r="I54" i="1"/>
  <c r="G54" i="1"/>
  <c r="F54" i="1"/>
  <c r="H54" i="1" s="1"/>
  <c r="E54" i="1"/>
  <c r="D54" i="1"/>
  <c r="C54" i="1"/>
  <c r="B54" i="1"/>
  <c r="P35" i="1"/>
  <c r="O35" i="1"/>
  <c r="Q35" i="1" s="1"/>
  <c r="N35" i="1"/>
  <c r="M35" i="1"/>
  <c r="L35" i="1"/>
  <c r="K35" i="1"/>
  <c r="J35" i="1"/>
  <c r="I35" i="1"/>
  <c r="H35" i="1"/>
  <c r="G35" i="1"/>
  <c r="F35" i="1"/>
  <c r="E35" i="1"/>
  <c r="D35" i="1"/>
  <c r="C35" i="1"/>
  <c r="B35" i="1"/>
  <c r="P16" i="1"/>
  <c r="O16" i="1"/>
  <c r="Q16" i="1" s="1"/>
  <c r="N16" i="1"/>
  <c r="M16" i="1"/>
  <c r="L16" i="1"/>
  <c r="K16" i="1"/>
  <c r="J16" i="1"/>
  <c r="I16" i="1"/>
  <c r="G16" i="1"/>
  <c r="F16" i="1"/>
  <c r="H16" i="1" s="1"/>
  <c r="E16" i="1"/>
  <c r="D16" i="1"/>
  <c r="C16" i="1"/>
  <c r="B16" i="1"/>
  <c r="Q73" i="1" l="1"/>
</calcChain>
</file>

<file path=xl/sharedStrings.xml><?xml version="1.0" encoding="utf-8"?>
<sst xmlns="http://schemas.openxmlformats.org/spreadsheetml/2006/main" count="157" uniqueCount="44">
  <si>
    <r>
      <t xml:space="preserve">Monthly Traffic And Operating Statistics (Provisional)
 </t>
    </r>
    <r>
      <rPr>
        <b/>
        <sz val="16"/>
        <color indexed="8"/>
        <rFont val="Cambria"/>
        <family val="1"/>
      </rPr>
      <t>( Scheduled Domestic Services)</t>
    </r>
  </si>
  <si>
    <t>MONTH</t>
  </si>
  <si>
    <t>AIRCRAFT FLOWN</t>
  </si>
  <si>
    <t>PASSENGERS CARRIED
(IN NUMBER)</t>
  </si>
  <si>
    <t>PASSENGER KMS.PERFORMED
(IN THOUSAND)</t>
  </si>
  <si>
    <t>AVAILABLE SEAT KILOMETRE
(IN THOUSAND)</t>
  </si>
  <si>
    <t xml:space="preserve"> CARGO CARRIED </t>
  </si>
  <si>
    <t xml:space="preserve">    TONNE  KILOMETRE PERFORMED </t>
  </si>
  <si>
    <t>AVAILABLE TONNE KILOMETRE
(IN THOUSAND)</t>
  </si>
  <si>
    <t>DEPARTURES
(IN NUMBER)</t>
  </si>
  <si>
    <t>HOURS
(IN NUMBER)</t>
  </si>
  <si>
    <t>KILOMETRE
(IN THOUSAND)</t>
  </si>
  <si>
    <t xml:space="preserve"> FREIGHT
(IN TONNE)</t>
  </si>
  <si>
    <t>MAIL
(IN TONNE)</t>
  </si>
  <si>
    <t xml:space="preserve"> TOTAL
(IN TONNE)</t>
  </si>
  <si>
    <t xml:space="preserve"> PASSENGER
(IN THOUSAND)</t>
  </si>
  <si>
    <t>FREIGHT
(IN THOUSAND)</t>
  </si>
  <si>
    <t xml:space="preserve"> MAIL
(IN THOUSAND)</t>
  </si>
  <si>
    <t xml:space="preserve"> TOTAL
(IN THOUSAND)</t>
  </si>
  <si>
    <t>JAN</t>
  </si>
  <si>
    <t>FEB</t>
  </si>
  <si>
    <t>MAR</t>
  </si>
  <si>
    <t>APR</t>
  </si>
  <si>
    <t>MAY</t>
  </si>
  <si>
    <t>JULY</t>
  </si>
  <si>
    <t>AUG</t>
  </si>
  <si>
    <t>SEP</t>
  </si>
  <si>
    <t>OCT</t>
  </si>
  <si>
    <t>NOV</t>
  </si>
  <si>
    <t>DEC</t>
  </si>
  <si>
    <t>TOTAL</t>
  </si>
  <si>
    <t>NOTE:- # PAX LOAD FACTOR = (PAX KM PERFORMED/AVAILABLE SEAT KMS)*100</t>
  </si>
  <si>
    <t xml:space="preserve">          # # WEIGHT LOAD FACTOR = (TONNE KMS PERFORMED/ AVAILABLE TONNE KMS)*100</t>
  </si>
  <si>
    <r>
      <rPr>
        <b/>
        <sz val="13"/>
        <color indexed="8"/>
        <rFont val="Cambria"/>
        <family val="1"/>
      </rPr>
      <t>Monthly Traffic And Operating Statistics</t>
    </r>
    <r>
      <rPr>
        <b/>
        <sz val="13"/>
        <color indexed="8"/>
        <rFont val="Cambria"/>
        <family val="1"/>
      </rPr>
      <t xml:space="preserve"> (Provisional)</t>
    </r>
    <r>
      <rPr>
        <b/>
        <sz val="12"/>
        <color indexed="8"/>
        <rFont val="Cambria"/>
        <family val="1"/>
      </rPr>
      <t xml:space="preserve">
 </t>
    </r>
    <r>
      <rPr>
        <b/>
        <sz val="16"/>
        <color indexed="8"/>
        <rFont val="Cambria"/>
        <family val="1"/>
      </rPr>
      <t>( Scheduled International  Services)</t>
    </r>
  </si>
  <si>
    <r>
      <rPr>
        <b/>
        <sz val="13"/>
        <rFont val="Cambria"/>
        <family val="1"/>
      </rPr>
      <t>Monthly Traffic And Operating Statistics (Provisional)</t>
    </r>
    <r>
      <rPr>
        <b/>
        <sz val="12"/>
        <rFont val="Cambria"/>
        <family val="1"/>
      </rPr>
      <t xml:space="preserve">
</t>
    </r>
    <r>
      <rPr>
        <b/>
        <sz val="16"/>
        <rFont val="Cambria"/>
        <family val="1"/>
      </rPr>
      <t xml:space="preserve"> (Non- Scheduled Domestic Services)</t>
    </r>
  </si>
  <si>
    <r>
      <rPr>
        <b/>
        <sz val="13"/>
        <rFont val="Cambria"/>
        <family val="1"/>
      </rPr>
      <t>Monthly Traffic And Operating Statistics (Provisional)</t>
    </r>
    <r>
      <rPr>
        <b/>
        <sz val="12"/>
        <rFont val="Cambria"/>
        <family val="1"/>
      </rPr>
      <t xml:space="preserve">
</t>
    </r>
    <r>
      <rPr>
        <b/>
        <sz val="16"/>
        <rFont val="Cambria"/>
        <family val="1"/>
      </rPr>
      <t xml:space="preserve"> (Non- Scheduled International Services)</t>
    </r>
  </si>
  <si>
    <t>[</t>
  </si>
  <si>
    <t xml:space="preserve"> PAX LOAD FACTOR
(IN %)</t>
  </si>
  <si>
    <t xml:space="preserve"> WEIGHT LOAD FACTOR
(IN %)</t>
  </si>
  <si>
    <t>JUN</t>
  </si>
  <si>
    <t>JUL</t>
  </si>
  <si>
    <t>AIR INDIA EXPRESS</t>
  </si>
  <si>
    <t>2026</t>
  </si>
  <si>
    <t>SOURCE:- ICAO ATR FORM A FURNISHED BY AIR INDIA EXPRESS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</si>
</sst>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0.0_)"/>
  </numFmts>
  <fonts count="18" x14ac:knownFonts="1">
    <font>
      <sz val="11"/>
      <color theme="1"/>
      <name val="Calibri"/>
      <family val="2"/>
      <scheme val="minor"/>
    </font>
    <font>
      <sz val="14"/>
      <color theme="1"/>
      <name val="Calibri Light"/>
      <family val="1"/>
      <scheme val="major"/>
    </font>
    <font>
      <sz val="11"/>
      <color theme="1"/>
      <name val="Calibri Light"/>
      <family val="1"/>
      <scheme val="major"/>
    </font>
    <font>
      <sz val="12"/>
      <color theme="0"/>
      <name val="Calibri Light"/>
      <family val="1"/>
      <scheme val="major"/>
    </font>
    <font>
      <b/>
      <sz val="12"/>
      <color theme="0" tint="-4.9989318521683403E-2"/>
      <name val="Calibri Light"/>
      <family val="1"/>
      <scheme val="major"/>
    </font>
    <font>
      <sz val="12"/>
      <color theme="1"/>
      <name val="Calibri Light"/>
      <family val="1"/>
      <scheme val="major"/>
    </font>
    <font>
      <b/>
      <sz val="12"/>
      <color theme="1"/>
      <name val="Calibri Light"/>
      <family val="1"/>
      <scheme val="major"/>
    </font>
    <font>
      <b/>
      <sz val="11"/>
      <color indexed="8"/>
      <name val="Cambria"/>
      <family val="1"/>
    </font>
    <font>
      <b/>
      <sz val="18"/>
      <color theme="1"/>
      <name val="Calibri Light"/>
      <family val="1"/>
      <scheme val="major"/>
    </font>
    <font>
      <b/>
      <sz val="12"/>
      <color theme="1"/>
      <name val="Cambria"/>
      <family val="1"/>
    </font>
    <font>
      <sz val="12"/>
      <color theme="1"/>
      <name val="Calibri"/>
      <family val="2"/>
      <scheme val="minor"/>
    </font>
    <font>
      <sz val="12"/>
      <color theme="0" tint="-4.9989318521683403E-2"/>
      <name val="Calibri Light"/>
      <family val="1"/>
      <scheme val="major"/>
    </font>
    <font>
      <b/>
      <sz val="16"/>
      <color indexed="8"/>
      <name val="Cambria"/>
      <family val="1"/>
    </font>
    <font>
      <b/>
      <sz val="13"/>
      <color indexed="8"/>
      <name val="Cambria"/>
      <family val="1"/>
    </font>
    <font>
      <b/>
      <sz val="12"/>
      <color indexed="8"/>
      <name val="Cambria"/>
      <family val="1"/>
    </font>
    <font>
      <b/>
      <sz val="13"/>
      <name val="Cambria"/>
      <family val="1"/>
    </font>
    <font>
      <b/>
      <sz val="12"/>
      <name val="Cambria"/>
      <family val="1"/>
    </font>
    <font>
      <b/>
      <sz val="16"/>
      <name val="Cambria"/>
      <family val="1"/>
    </font>
  </fonts>
  <fills count="1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769342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76933C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E26B0A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8DB4E2"/>
        <bgColor indexed="64"/>
      </patternFill>
    </fill>
    <fill>
      <patternFill patternType="solid">
        <fgColor rgb="FFF79646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38DD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3">
    <xf numFmtId="0" fontId="0" fillId="0" borderId="0" xfId="0"/>
    <xf numFmtId="0" fontId="1" fillId="2" borderId="0" xfId="0" applyFont="1" applyFill="1"/>
    <xf numFmtId="3" fontId="2" fillId="2" borderId="1" xfId="0" applyNumberFormat="1" applyFont="1" applyFill="1" applyBorder="1" applyAlignment="1">
      <alignment horizontal="center" vertical="center" wrapText="1"/>
    </xf>
    <xf numFmtId="3" fontId="3" fillId="3" borderId="2" xfId="0" applyNumberFormat="1" applyFont="1" applyFill="1" applyBorder="1" applyAlignment="1">
      <alignment horizontal="center" vertical="center" wrapText="1"/>
    </xf>
    <xf numFmtId="164" fontId="3" fillId="3" borderId="3" xfId="0" applyNumberFormat="1" applyFont="1" applyFill="1" applyBorder="1" applyAlignment="1">
      <alignment horizontal="center" vertical="center" wrapText="1"/>
    </xf>
    <xf numFmtId="164" fontId="3" fillId="3" borderId="2" xfId="0" applyNumberFormat="1" applyFont="1" applyFill="1" applyBorder="1" applyAlignment="1">
      <alignment horizontal="center" vertical="center" wrapText="1"/>
    </xf>
    <xf numFmtId="3" fontId="2" fillId="4" borderId="0" xfId="0" applyNumberFormat="1" applyFont="1" applyFill="1" applyAlignment="1">
      <alignment horizontal="center" vertical="center" wrapText="1"/>
    </xf>
    <xf numFmtId="3" fontId="2" fillId="4" borderId="4" xfId="0" applyNumberFormat="1" applyFont="1" applyFill="1" applyBorder="1" applyAlignment="1">
      <alignment horizontal="center" vertical="center" wrapText="1"/>
    </xf>
    <xf numFmtId="3" fontId="2" fillId="4" borderId="5" xfId="0" applyNumberFormat="1" applyFont="1" applyFill="1" applyBorder="1" applyAlignment="1">
      <alignment horizontal="center" vertical="center" wrapText="1"/>
    </xf>
    <xf numFmtId="3" fontId="2" fillId="4" borderId="6" xfId="0" applyNumberFormat="1" applyFont="1" applyFill="1" applyBorder="1" applyAlignment="1">
      <alignment horizontal="center" vertical="center" wrapText="1"/>
    </xf>
    <xf numFmtId="164" fontId="2" fillId="4" borderId="7" xfId="0" applyNumberFormat="1" applyFont="1" applyFill="1" applyBorder="1" applyAlignment="1">
      <alignment horizontal="center" vertical="center" wrapText="1"/>
    </xf>
    <xf numFmtId="164" fontId="2" fillId="4" borderId="5" xfId="0" applyNumberFormat="1" applyFont="1" applyFill="1" applyBorder="1" applyAlignment="1">
      <alignment horizontal="center" vertical="center" wrapText="1"/>
    </xf>
    <xf numFmtId="164" fontId="2" fillId="4" borderId="4" xfId="0" applyNumberFormat="1" applyFont="1" applyFill="1" applyBorder="1" applyAlignment="1">
      <alignment horizontal="center" vertical="center" wrapText="1"/>
    </xf>
    <xf numFmtId="3" fontId="2" fillId="2" borderId="8" xfId="0" applyNumberFormat="1" applyFont="1" applyFill="1" applyBorder="1" applyAlignment="1">
      <alignment horizontal="center" vertical="center" wrapText="1"/>
    </xf>
    <xf numFmtId="164" fontId="2" fillId="4" borderId="6" xfId="0" applyNumberFormat="1" applyFont="1" applyFill="1" applyBorder="1" applyAlignment="1">
      <alignment horizontal="center" vertical="center" wrapText="1"/>
    </xf>
    <xf numFmtId="3" fontId="2" fillId="4" borderId="9" xfId="0" applyNumberFormat="1" applyFont="1" applyFill="1" applyBorder="1" applyAlignment="1">
      <alignment horizontal="center" vertical="center" wrapText="1"/>
    </xf>
    <xf numFmtId="3" fontId="2" fillId="4" borderId="7" xfId="0" applyNumberFormat="1" applyFont="1" applyFill="1" applyBorder="1" applyAlignment="1">
      <alignment horizontal="center" vertical="center" wrapText="1"/>
    </xf>
    <xf numFmtId="164" fontId="2" fillId="4" borderId="0" xfId="0" applyNumberFormat="1" applyFont="1" applyFill="1" applyAlignment="1">
      <alignment horizontal="center" vertical="center" wrapText="1"/>
    </xf>
    <xf numFmtId="164" fontId="2" fillId="4" borderId="9" xfId="0" applyNumberFormat="1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textRotation="90" wrapText="1"/>
    </xf>
    <xf numFmtId="3" fontId="2" fillId="6" borderId="10" xfId="0" applyNumberFormat="1" applyFont="1" applyFill="1" applyBorder="1" applyAlignment="1">
      <alignment horizontal="center" vertical="center" wrapText="1"/>
    </xf>
    <xf numFmtId="3" fontId="2" fillId="6" borderId="5" xfId="0" applyNumberFormat="1" applyFont="1" applyFill="1" applyBorder="1" applyAlignment="1">
      <alignment horizontal="center" vertical="center" wrapText="1"/>
    </xf>
    <xf numFmtId="3" fontId="2" fillId="6" borderId="6" xfId="0" applyNumberFormat="1" applyFont="1" applyFill="1" applyBorder="1" applyAlignment="1">
      <alignment horizontal="center" vertical="center" wrapText="1"/>
    </xf>
    <xf numFmtId="3" fontId="2" fillId="6" borderId="4" xfId="0" applyNumberFormat="1" applyFont="1" applyFill="1" applyBorder="1" applyAlignment="1">
      <alignment horizontal="center" vertical="center" wrapText="1"/>
    </xf>
    <xf numFmtId="3" fontId="2" fillId="2" borderId="11" xfId="0" applyNumberFormat="1" applyFont="1" applyFill="1" applyBorder="1" applyAlignment="1">
      <alignment horizontal="center" vertical="center" wrapText="1"/>
    </xf>
    <xf numFmtId="164" fontId="2" fillId="6" borderId="6" xfId="0" applyNumberFormat="1" applyFont="1" applyFill="1" applyBorder="1" applyAlignment="1">
      <alignment horizontal="center" vertical="center" wrapText="1"/>
    </xf>
    <xf numFmtId="164" fontId="2" fillId="6" borderId="4" xfId="0" applyNumberFormat="1" applyFont="1" applyFill="1" applyBorder="1" applyAlignment="1">
      <alignment horizontal="center" vertical="center" wrapText="1"/>
    </xf>
    <xf numFmtId="164" fontId="2" fillId="6" borderId="5" xfId="0" applyNumberFormat="1" applyFont="1" applyFill="1" applyBorder="1" applyAlignment="1">
      <alignment horizontal="center" vertical="center" wrapText="1"/>
    </xf>
    <xf numFmtId="3" fontId="2" fillId="6" borderId="7" xfId="0" applyNumberFormat="1" applyFont="1" applyFill="1" applyBorder="1" applyAlignment="1">
      <alignment horizontal="center" vertical="center" wrapText="1"/>
    </xf>
    <xf numFmtId="3" fontId="2" fillId="6" borderId="0" xfId="0" applyNumberFormat="1" applyFont="1" applyFill="1" applyAlignment="1">
      <alignment horizontal="center" vertical="center" wrapText="1"/>
    </xf>
    <xf numFmtId="3" fontId="2" fillId="6" borderId="9" xfId="0" applyNumberFormat="1" applyFont="1" applyFill="1" applyBorder="1" applyAlignment="1">
      <alignment horizontal="center" vertical="center" wrapText="1"/>
    </xf>
    <xf numFmtId="164" fontId="2" fillId="6" borderId="7" xfId="0" applyNumberFormat="1" applyFont="1" applyFill="1" applyBorder="1" applyAlignment="1">
      <alignment horizontal="center" vertical="center" wrapText="1"/>
    </xf>
    <xf numFmtId="164" fontId="2" fillId="6" borderId="9" xfId="0" applyNumberFormat="1" applyFont="1" applyFill="1" applyBorder="1" applyAlignment="1">
      <alignment horizontal="center" vertical="center" wrapText="1"/>
    </xf>
    <xf numFmtId="164" fontId="2" fillId="6" borderId="0" xfId="0" applyNumberFormat="1" applyFont="1" applyFill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3" fontId="3" fillId="7" borderId="2" xfId="0" applyNumberFormat="1" applyFont="1" applyFill="1" applyBorder="1" applyAlignment="1">
      <alignment horizontal="center" vertical="center" wrapText="1"/>
    </xf>
    <xf numFmtId="164" fontId="3" fillId="7" borderId="2" xfId="0" applyNumberFormat="1" applyFont="1" applyFill="1" applyBorder="1" applyAlignment="1">
      <alignment horizontal="center" vertical="center" wrapText="1"/>
    </xf>
    <xf numFmtId="164" fontId="3" fillId="7" borderId="3" xfId="0" applyNumberFormat="1" applyFont="1" applyFill="1" applyBorder="1" applyAlignment="1">
      <alignment horizontal="center" vertical="center" wrapText="1"/>
    </xf>
    <xf numFmtId="0" fontId="4" fillId="8" borderId="10" xfId="0" applyFont="1" applyFill="1" applyBorder="1" applyAlignment="1">
      <alignment horizontal="center" vertical="center" textRotation="90" wrapText="1"/>
    </xf>
    <xf numFmtId="0" fontId="4" fillId="9" borderId="10" xfId="0" applyFont="1" applyFill="1" applyBorder="1" applyAlignment="1">
      <alignment horizontal="center" vertical="center" textRotation="90" wrapText="1"/>
    </xf>
    <xf numFmtId="0" fontId="4" fillId="5" borderId="10" xfId="0" applyFont="1" applyFill="1" applyBorder="1" applyAlignment="1">
      <alignment horizontal="center" vertical="center" textRotation="90" wrapText="1"/>
    </xf>
    <xf numFmtId="0" fontId="4" fillId="10" borderId="3" xfId="0" applyFont="1" applyFill="1" applyBorder="1" applyAlignment="1">
      <alignment horizontal="center" vertical="center" textRotation="90" wrapText="1"/>
    </xf>
    <xf numFmtId="3" fontId="2" fillId="2" borderId="2" xfId="0" applyNumberFormat="1" applyFont="1" applyFill="1" applyBorder="1" applyAlignment="1">
      <alignment horizontal="center" vertical="center" wrapText="1"/>
    </xf>
    <xf numFmtId="164" fontId="2" fillId="2" borderId="11" xfId="0" applyNumberFormat="1" applyFont="1" applyFill="1" applyBorder="1" applyAlignment="1">
      <alignment horizontal="center" vertical="center" wrapText="1"/>
    </xf>
    <xf numFmtId="3" fontId="2" fillId="6" borderId="2" xfId="0" applyNumberFormat="1" applyFont="1" applyFill="1" applyBorder="1" applyAlignment="1">
      <alignment horizontal="center" vertical="center" wrapText="1"/>
    </xf>
    <xf numFmtId="0" fontId="5" fillId="11" borderId="9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12" borderId="9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3" fontId="2" fillId="13" borderId="0" xfId="0" applyNumberFormat="1" applyFont="1" applyFill="1" applyAlignment="1">
      <alignment horizontal="center" vertical="center" wrapText="1"/>
    </xf>
    <xf numFmtId="3" fontId="2" fillId="13" borderId="9" xfId="0" applyNumberFormat="1" applyFont="1" applyFill="1" applyBorder="1" applyAlignment="1">
      <alignment horizontal="center" vertical="center" wrapText="1"/>
    </xf>
    <xf numFmtId="3" fontId="2" fillId="13" borderId="7" xfId="0" applyNumberFormat="1" applyFont="1" applyFill="1" applyBorder="1" applyAlignment="1">
      <alignment horizontal="center" vertical="center" wrapText="1"/>
    </xf>
    <xf numFmtId="3" fontId="2" fillId="2" borderId="7" xfId="0" applyNumberFormat="1" applyFont="1" applyFill="1" applyBorder="1" applyAlignment="1">
      <alignment horizontal="center" vertical="center" wrapText="1"/>
    </xf>
    <xf numFmtId="164" fontId="2" fillId="13" borderId="7" xfId="0" applyNumberFormat="1" applyFont="1" applyFill="1" applyBorder="1" applyAlignment="1">
      <alignment horizontal="center" vertical="center" wrapText="1"/>
    </xf>
    <xf numFmtId="164" fontId="2" fillId="13" borderId="0" xfId="0" applyNumberFormat="1" applyFont="1" applyFill="1" applyAlignment="1">
      <alignment horizontal="center" vertical="center" wrapText="1"/>
    </xf>
    <xf numFmtId="164" fontId="2" fillId="13" borderId="9" xfId="0" applyNumberFormat="1" applyFont="1" applyFill="1" applyBorder="1" applyAlignment="1">
      <alignment horizontal="center" vertical="center" wrapText="1"/>
    </xf>
    <xf numFmtId="3" fontId="2" fillId="13" borderId="11" xfId="0" applyNumberFormat="1" applyFont="1" applyFill="1" applyBorder="1" applyAlignment="1">
      <alignment horizontal="center" vertical="center" wrapText="1"/>
    </xf>
    <xf numFmtId="3" fontId="2" fillId="13" borderId="1" xfId="0" applyNumberFormat="1" applyFont="1" applyFill="1" applyBorder="1" applyAlignment="1">
      <alignment horizontal="center" vertical="center" wrapText="1"/>
    </xf>
    <xf numFmtId="3" fontId="2" fillId="13" borderId="8" xfId="0" applyNumberFormat="1" applyFont="1" applyFill="1" applyBorder="1" applyAlignment="1">
      <alignment horizontal="center" vertical="center" wrapText="1"/>
    </xf>
    <xf numFmtId="164" fontId="2" fillId="13" borderId="1" xfId="0" applyNumberFormat="1" applyFont="1" applyFill="1" applyBorder="1" applyAlignment="1">
      <alignment horizontal="center" vertical="center" wrapText="1"/>
    </xf>
    <xf numFmtId="164" fontId="2" fillId="13" borderId="11" xfId="0" applyNumberFormat="1" applyFont="1" applyFill="1" applyBorder="1" applyAlignment="1">
      <alignment horizontal="center" vertical="center" wrapText="1"/>
    </xf>
    <xf numFmtId="164" fontId="2" fillId="13" borderId="8" xfId="0" applyNumberFormat="1" applyFont="1" applyFill="1" applyBorder="1" applyAlignment="1">
      <alignment horizontal="center" vertical="center" wrapText="1"/>
    </xf>
    <xf numFmtId="3" fontId="10" fillId="2" borderId="9" xfId="0" applyNumberFormat="1" applyFont="1" applyFill="1" applyBorder="1" applyAlignment="1">
      <alignment horizontal="center" vertical="center" wrapText="1"/>
    </xf>
    <xf numFmtId="3" fontId="2" fillId="2" borderId="0" xfId="0" applyNumberFormat="1" applyFont="1" applyFill="1" applyAlignment="1">
      <alignment horizontal="center" vertical="center" wrapText="1"/>
    </xf>
    <xf numFmtId="3" fontId="10" fillId="2" borderId="0" xfId="0" applyNumberFormat="1" applyFont="1" applyFill="1" applyAlignment="1">
      <alignment horizontal="center" vertical="center" wrapText="1"/>
    </xf>
    <xf numFmtId="3" fontId="10" fillId="2" borderId="7" xfId="0" applyNumberFormat="1" applyFont="1" applyFill="1" applyBorder="1" applyAlignment="1">
      <alignment horizontal="center" vertical="center" wrapText="1"/>
    </xf>
    <xf numFmtId="164" fontId="5" fillId="2" borderId="7" xfId="0" applyNumberFormat="1" applyFont="1" applyFill="1" applyBorder="1" applyAlignment="1">
      <alignment horizontal="center" vertical="center" wrapText="1"/>
    </xf>
    <xf numFmtId="164" fontId="10" fillId="2" borderId="9" xfId="0" applyNumberFormat="1" applyFont="1" applyFill="1" applyBorder="1" applyAlignment="1">
      <alignment horizontal="center" vertical="center" wrapText="1"/>
    </xf>
    <xf numFmtId="164" fontId="10" fillId="2" borderId="0" xfId="0" applyNumberFormat="1" applyFont="1" applyFill="1" applyAlignment="1">
      <alignment horizontal="center" vertical="center" wrapText="1"/>
    </xf>
    <xf numFmtId="4" fontId="10" fillId="2" borderId="0" xfId="0" applyNumberFormat="1" applyFont="1" applyFill="1" applyAlignment="1">
      <alignment horizontal="center" vertical="center" wrapText="1"/>
    </xf>
    <xf numFmtId="3" fontId="5" fillId="2" borderId="9" xfId="0" applyNumberFormat="1" applyFont="1" applyFill="1" applyBorder="1" applyAlignment="1">
      <alignment horizontal="center" vertical="center" wrapText="1"/>
    </xf>
    <xf numFmtId="3" fontId="5" fillId="2" borderId="0" xfId="0" applyNumberFormat="1" applyFont="1" applyFill="1" applyAlignment="1">
      <alignment horizontal="center" vertical="center" wrapText="1"/>
    </xf>
    <xf numFmtId="164" fontId="5" fillId="2" borderId="9" xfId="0" applyNumberFormat="1" applyFont="1" applyFill="1" applyBorder="1" applyAlignment="1">
      <alignment horizontal="center" vertical="center" wrapText="1"/>
    </xf>
    <xf numFmtId="164" fontId="5" fillId="2" borderId="0" xfId="0" applyNumberFormat="1" applyFont="1" applyFill="1" applyAlignment="1">
      <alignment horizontal="center" vertical="center" wrapText="1"/>
    </xf>
    <xf numFmtId="3" fontId="2" fillId="2" borderId="9" xfId="0" applyNumberFormat="1" applyFont="1" applyFill="1" applyBorder="1" applyAlignment="1">
      <alignment horizontal="center" vertical="center" wrapText="1"/>
    </xf>
    <xf numFmtId="3" fontId="5" fillId="2" borderId="7" xfId="0" applyNumberFormat="1" applyFont="1" applyFill="1" applyBorder="1" applyAlignment="1">
      <alignment horizontal="center" vertical="center" wrapText="1"/>
    </xf>
    <xf numFmtId="3" fontId="5" fillId="2" borderId="11" xfId="0" applyNumberFormat="1" applyFont="1" applyFill="1" applyBorder="1" applyAlignment="1">
      <alignment horizontal="center" vertical="center" wrapText="1"/>
    </xf>
    <xf numFmtId="3" fontId="5" fillId="2" borderId="1" xfId="0" applyNumberFormat="1" applyFont="1" applyFill="1" applyBorder="1" applyAlignment="1">
      <alignment horizontal="center" vertical="center" wrapText="1"/>
    </xf>
    <xf numFmtId="3" fontId="5" fillId="2" borderId="8" xfId="0" applyNumberFormat="1" applyFont="1" applyFill="1" applyBorder="1" applyAlignment="1">
      <alignment horizontal="center" vertical="center" wrapText="1"/>
    </xf>
    <xf numFmtId="164" fontId="5" fillId="2" borderId="8" xfId="0" applyNumberFormat="1" applyFont="1" applyFill="1" applyBorder="1" applyAlignment="1">
      <alignment horizontal="center" vertical="center" wrapText="1"/>
    </xf>
    <xf numFmtId="164" fontId="5" fillId="2" borderId="11" xfId="0" applyNumberFormat="1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center" vertical="center" wrapText="1"/>
    </xf>
    <xf numFmtId="165" fontId="1" fillId="2" borderId="0" xfId="0" applyNumberFormat="1" applyFont="1" applyFill="1"/>
    <xf numFmtId="164" fontId="2" fillId="2" borderId="7" xfId="0" applyNumberFormat="1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/>
    </xf>
    <xf numFmtId="0" fontId="4" fillId="8" borderId="15" xfId="0" applyFont="1" applyFill="1" applyBorder="1" applyAlignment="1">
      <alignment horizontal="center" vertical="center" wrapText="1"/>
    </xf>
    <xf numFmtId="3" fontId="11" fillId="8" borderId="15" xfId="0" applyNumberFormat="1" applyFont="1" applyFill="1" applyBorder="1" applyAlignment="1">
      <alignment horizontal="center" vertical="center" wrapText="1"/>
    </xf>
    <xf numFmtId="164" fontId="11" fillId="8" borderId="15" xfId="0" applyNumberFormat="1" applyFont="1" applyFill="1" applyBorder="1" applyAlignment="1">
      <alignment horizontal="center" vertical="center" wrapText="1"/>
    </xf>
    <xf numFmtId="3" fontId="5" fillId="12" borderId="4" xfId="0" applyNumberFormat="1" applyFont="1" applyFill="1" applyBorder="1" applyAlignment="1">
      <alignment horizontal="center" vertical="center" wrapText="1"/>
    </xf>
    <xf numFmtId="3" fontId="5" fillId="12" borderId="5" xfId="0" applyNumberFormat="1" applyFont="1" applyFill="1" applyBorder="1" applyAlignment="1">
      <alignment horizontal="center" vertical="center" wrapText="1"/>
    </xf>
    <xf numFmtId="3" fontId="5" fillId="12" borderId="6" xfId="0" applyNumberFormat="1" applyFont="1" applyFill="1" applyBorder="1" applyAlignment="1">
      <alignment horizontal="center" vertical="center" wrapText="1"/>
    </xf>
    <xf numFmtId="164" fontId="5" fillId="12" borderId="6" xfId="0" applyNumberFormat="1" applyFont="1" applyFill="1" applyBorder="1" applyAlignment="1">
      <alignment horizontal="center" vertical="center" wrapText="1"/>
    </xf>
    <xf numFmtId="164" fontId="2" fillId="2" borderId="9" xfId="0" applyNumberFormat="1" applyFont="1" applyFill="1" applyBorder="1" applyAlignment="1">
      <alignment horizontal="center" vertical="center" wrapText="1"/>
    </xf>
    <xf numFmtId="164" fontId="5" fillId="12" borderId="4" xfId="0" applyNumberFormat="1" applyFont="1" applyFill="1" applyBorder="1" applyAlignment="1">
      <alignment horizontal="center" vertical="center" wrapText="1"/>
    </xf>
    <xf numFmtId="164" fontId="5" fillId="12" borderId="5" xfId="0" applyNumberFormat="1" applyFont="1" applyFill="1" applyBorder="1" applyAlignment="1">
      <alignment horizontal="center" vertical="center" wrapText="1"/>
    </xf>
    <xf numFmtId="3" fontId="5" fillId="12" borderId="9" xfId="0" applyNumberFormat="1" applyFont="1" applyFill="1" applyBorder="1" applyAlignment="1">
      <alignment horizontal="center" vertical="center" wrapText="1"/>
    </xf>
    <xf numFmtId="3" fontId="5" fillId="12" borderId="0" xfId="0" applyNumberFormat="1" applyFont="1" applyFill="1" applyAlignment="1">
      <alignment horizontal="center" vertical="center" wrapText="1"/>
    </xf>
    <xf numFmtId="3" fontId="5" fillId="12" borderId="7" xfId="0" applyNumberFormat="1" applyFont="1" applyFill="1" applyBorder="1" applyAlignment="1">
      <alignment horizontal="center" vertical="center" wrapText="1"/>
    </xf>
    <xf numFmtId="164" fontId="5" fillId="12" borderId="7" xfId="0" applyNumberFormat="1" applyFont="1" applyFill="1" applyBorder="1" applyAlignment="1">
      <alignment horizontal="center" vertical="center" wrapText="1"/>
    </xf>
    <xf numFmtId="164" fontId="5" fillId="12" borderId="9" xfId="0" applyNumberFormat="1" applyFont="1" applyFill="1" applyBorder="1" applyAlignment="1">
      <alignment horizontal="center" vertical="center" wrapText="1"/>
    </xf>
    <xf numFmtId="164" fontId="5" fillId="12" borderId="0" xfId="0" applyNumberFormat="1" applyFont="1" applyFill="1" applyAlignment="1">
      <alignment horizontal="center" vertical="center" wrapText="1"/>
    </xf>
    <xf numFmtId="164" fontId="2" fillId="2" borderId="0" xfId="0" applyNumberFormat="1" applyFont="1" applyFill="1" applyAlignment="1">
      <alignment horizontal="center" vertical="center" wrapText="1"/>
    </xf>
    <xf numFmtId="3" fontId="5" fillId="11" borderId="4" xfId="0" applyNumberFormat="1" applyFont="1" applyFill="1" applyBorder="1" applyAlignment="1">
      <alignment horizontal="center" vertical="center" wrapText="1"/>
    </xf>
    <xf numFmtId="3" fontId="5" fillId="11" borderId="5" xfId="0" applyNumberFormat="1" applyFont="1" applyFill="1" applyBorder="1" applyAlignment="1">
      <alignment horizontal="center" vertical="center" wrapText="1"/>
    </xf>
    <xf numFmtId="3" fontId="5" fillId="11" borderId="6" xfId="0" applyNumberFormat="1" applyFont="1" applyFill="1" applyBorder="1" applyAlignment="1">
      <alignment horizontal="center" vertical="center" wrapText="1"/>
    </xf>
    <xf numFmtId="164" fontId="5" fillId="11" borderId="6" xfId="0" applyNumberFormat="1" applyFont="1" applyFill="1" applyBorder="1" applyAlignment="1">
      <alignment horizontal="center" vertical="center" wrapText="1"/>
    </xf>
    <xf numFmtId="164" fontId="5" fillId="11" borderId="4" xfId="0" applyNumberFormat="1" applyFont="1" applyFill="1" applyBorder="1" applyAlignment="1">
      <alignment horizontal="center" vertical="center" wrapText="1"/>
    </xf>
    <xf numFmtId="164" fontId="5" fillId="11" borderId="5" xfId="0" applyNumberFormat="1" applyFont="1" applyFill="1" applyBorder="1" applyAlignment="1">
      <alignment horizontal="center" vertical="center" wrapText="1"/>
    </xf>
    <xf numFmtId="3" fontId="10" fillId="11" borderId="9" xfId="0" applyNumberFormat="1" applyFont="1" applyFill="1" applyBorder="1" applyAlignment="1">
      <alignment horizontal="center" vertical="center" wrapText="1"/>
    </xf>
    <xf numFmtId="3" fontId="10" fillId="11" borderId="0" xfId="0" applyNumberFormat="1" applyFont="1" applyFill="1" applyAlignment="1">
      <alignment horizontal="center" vertical="center" wrapText="1"/>
    </xf>
    <xf numFmtId="3" fontId="10" fillId="11" borderId="7" xfId="0" applyNumberFormat="1" applyFont="1" applyFill="1" applyBorder="1" applyAlignment="1">
      <alignment horizontal="center" vertical="center" wrapText="1"/>
    </xf>
    <xf numFmtId="164" fontId="5" fillId="11" borderId="7" xfId="0" applyNumberFormat="1" applyFont="1" applyFill="1" applyBorder="1" applyAlignment="1">
      <alignment horizontal="center" vertical="center" wrapText="1"/>
    </xf>
    <xf numFmtId="164" fontId="10" fillId="11" borderId="9" xfId="0" applyNumberFormat="1" applyFont="1" applyFill="1" applyBorder="1" applyAlignment="1">
      <alignment horizontal="center" vertical="center" wrapText="1"/>
    </xf>
    <xf numFmtId="164" fontId="10" fillId="11" borderId="0" xfId="0" applyNumberFormat="1" applyFont="1" applyFill="1" applyAlignment="1">
      <alignment horizontal="center" vertical="center" wrapText="1"/>
    </xf>
    <xf numFmtId="4" fontId="10" fillId="11" borderId="0" xfId="0" applyNumberFormat="1" applyFont="1" applyFill="1" applyAlignment="1">
      <alignment horizontal="center" vertical="center" wrapText="1"/>
    </xf>
    <xf numFmtId="3" fontId="5" fillId="11" borderId="9" xfId="0" applyNumberFormat="1" applyFont="1" applyFill="1" applyBorder="1" applyAlignment="1">
      <alignment horizontal="center" vertical="center" wrapText="1"/>
    </xf>
    <xf numFmtId="3" fontId="5" fillId="11" borderId="0" xfId="0" applyNumberFormat="1" applyFont="1" applyFill="1" applyAlignment="1">
      <alignment horizontal="center" vertical="center" wrapText="1"/>
    </xf>
    <xf numFmtId="3" fontId="5" fillId="11" borderId="7" xfId="0" applyNumberFormat="1" applyFont="1" applyFill="1" applyBorder="1" applyAlignment="1">
      <alignment horizontal="center" vertical="center" wrapText="1"/>
    </xf>
    <xf numFmtId="164" fontId="5" fillId="11" borderId="9" xfId="0" applyNumberFormat="1" applyFont="1" applyFill="1" applyBorder="1" applyAlignment="1">
      <alignment horizontal="center" vertical="center" wrapText="1"/>
    </xf>
    <xf numFmtId="164" fontId="5" fillId="11" borderId="0" xfId="0" applyNumberFormat="1" applyFont="1" applyFill="1" applyAlignment="1">
      <alignment horizontal="center" vertical="center" wrapText="1"/>
    </xf>
    <xf numFmtId="3" fontId="2" fillId="2" borderId="15" xfId="0" applyNumberFormat="1" applyFont="1" applyFill="1" applyBorder="1" applyAlignment="1">
      <alignment horizontal="center" vertical="center" wrapText="1"/>
    </xf>
    <xf numFmtId="0" fontId="4" fillId="14" borderId="3" xfId="0" applyFont="1" applyFill="1" applyBorder="1" applyAlignment="1">
      <alignment horizontal="center" vertical="center" wrapText="1"/>
    </xf>
    <xf numFmtId="3" fontId="11" fillId="14" borderId="15" xfId="0" applyNumberFormat="1" applyFont="1" applyFill="1" applyBorder="1" applyAlignment="1">
      <alignment horizontal="center" vertical="center" wrapText="1"/>
    </xf>
    <xf numFmtId="164" fontId="11" fillId="14" borderId="15" xfId="0" applyNumberFormat="1" applyFont="1" applyFill="1" applyBorder="1" applyAlignment="1">
      <alignment horizontal="center" vertical="center" wrapText="1"/>
    </xf>
    <xf numFmtId="164" fontId="11" fillId="14" borderId="3" xfId="0" applyNumberFormat="1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left" vertical="center"/>
    </xf>
    <xf numFmtId="2" fontId="8" fillId="6" borderId="14" xfId="0" applyNumberFormat="1" applyFont="1" applyFill="1" applyBorder="1" applyAlignment="1">
      <alignment horizontal="center" vertical="center" wrapText="1"/>
    </xf>
    <xf numFmtId="2" fontId="8" fillId="6" borderId="12" xfId="0" applyNumberFormat="1" applyFont="1" applyFill="1" applyBorder="1" applyAlignment="1">
      <alignment horizontal="center" vertical="center" wrapText="1"/>
    </xf>
    <xf numFmtId="3" fontId="7" fillId="6" borderId="12" xfId="0" applyNumberFormat="1" applyFont="1" applyFill="1" applyBorder="1" applyAlignment="1">
      <alignment horizontal="center" vertical="center" wrapText="1"/>
    </xf>
    <xf numFmtId="3" fontId="8" fillId="6" borderId="12" xfId="0" applyNumberFormat="1" applyFont="1" applyFill="1" applyBorder="1" applyAlignment="1">
      <alignment horizontal="center" vertical="center" wrapText="1"/>
    </xf>
    <xf numFmtId="3" fontId="8" fillId="6" borderId="13" xfId="0" applyNumberFormat="1" applyFont="1" applyFill="1" applyBorder="1" applyAlignment="1">
      <alignment horizontal="center" vertical="center" wrapText="1"/>
    </xf>
    <xf numFmtId="0" fontId="4" fillId="10" borderId="10" xfId="0" applyFont="1" applyFill="1" applyBorder="1" applyAlignment="1">
      <alignment horizontal="center" vertical="center" wrapText="1"/>
    </xf>
    <xf numFmtId="0" fontId="4" fillId="10" borderId="2" xfId="0" applyFont="1" applyFill="1" applyBorder="1" applyAlignment="1">
      <alignment horizontal="center" vertical="center" wrapText="1"/>
    </xf>
    <xf numFmtId="0" fontId="4" fillId="10" borderId="3" xfId="0" applyFont="1" applyFill="1" applyBorder="1" applyAlignment="1">
      <alignment horizontal="center" vertical="center" wrapText="1"/>
    </xf>
    <xf numFmtId="0" fontId="4" fillId="10" borderId="3" xfId="0" applyFont="1" applyFill="1" applyBorder="1" applyAlignment="1">
      <alignment horizontal="center" vertical="center" textRotation="90" wrapText="1"/>
    </xf>
    <xf numFmtId="0" fontId="6" fillId="2" borderId="3" xfId="0" applyFont="1" applyFill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2" fontId="8" fillId="4" borderId="14" xfId="0" applyNumberFormat="1" applyFont="1" applyFill="1" applyBorder="1" applyAlignment="1">
      <alignment horizontal="center" vertical="center" wrapText="1"/>
    </xf>
    <xf numFmtId="2" fontId="8" fillId="4" borderId="12" xfId="0" applyNumberFormat="1" applyFont="1" applyFill="1" applyBorder="1" applyAlignment="1">
      <alignment horizontal="center" vertical="center" wrapText="1"/>
    </xf>
    <xf numFmtId="164" fontId="7" fillId="4" borderId="12" xfId="0" applyNumberFormat="1" applyFont="1" applyFill="1" applyBorder="1" applyAlignment="1">
      <alignment horizontal="center" vertical="center" wrapText="1"/>
    </xf>
    <xf numFmtId="164" fontId="8" fillId="4" borderId="12" xfId="0" applyNumberFormat="1" applyFont="1" applyFill="1" applyBorder="1" applyAlignment="1">
      <alignment horizontal="center" vertical="center" wrapText="1"/>
    </xf>
    <xf numFmtId="164" fontId="8" fillId="4" borderId="13" xfId="0" applyNumberFormat="1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textRotation="90" wrapText="1"/>
    </xf>
    <xf numFmtId="0" fontId="4" fillId="5" borderId="10" xfId="0" applyFont="1" applyFill="1" applyBorder="1" applyAlignment="1">
      <alignment horizontal="center" vertical="center" textRotation="90" wrapText="1"/>
    </xf>
    <xf numFmtId="2" fontId="8" fillId="11" borderId="14" xfId="0" applyNumberFormat="1" applyFont="1" applyFill="1" applyBorder="1" applyAlignment="1">
      <alignment horizontal="center" vertical="center" wrapText="1"/>
    </xf>
    <xf numFmtId="2" fontId="8" fillId="11" borderId="12" xfId="0" applyNumberFormat="1" applyFont="1" applyFill="1" applyBorder="1" applyAlignment="1">
      <alignment horizontal="center" vertical="center" wrapText="1"/>
    </xf>
    <xf numFmtId="3" fontId="9" fillId="11" borderId="12" xfId="0" applyNumberFormat="1" applyFont="1" applyFill="1" applyBorder="1" applyAlignment="1">
      <alignment horizontal="center" vertical="center" wrapText="1"/>
    </xf>
    <xf numFmtId="3" fontId="8" fillId="11" borderId="12" xfId="0" applyNumberFormat="1" applyFont="1" applyFill="1" applyBorder="1" applyAlignment="1">
      <alignment horizontal="center" vertical="center" wrapText="1"/>
    </xf>
    <xf numFmtId="3" fontId="8" fillId="11" borderId="13" xfId="0" applyNumberFormat="1" applyFont="1" applyFill="1" applyBorder="1" applyAlignment="1">
      <alignment horizontal="center" vertical="center" wrapText="1"/>
    </xf>
    <xf numFmtId="0" fontId="4" fillId="9" borderId="3" xfId="0" applyFont="1" applyFill="1" applyBorder="1" applyAlignment="1">
      <alignment horizontal="center" vertical="center" wrapText="1"/>
    </xf>
    <xf numFmtId="0" fontId="4" fillId="9" borderId="3" xfId="0" applyFont="1" applyFill="1" applyBorder="1" applyAlignment="1">
      <alignment horizontal="center" vertical="center" textRotation="90" wrapText="1"/>
    </xf>
    <xf numFmtId="0" fontId="4" fillId="9" borderId="10" xfId="0" applyFont="1" applyFill="1" applyBorder="1" applyAlignment="1">
      <alignment horizontal="center" vertical="center" textRotation="90" wrapText="1"/>
    </xf>
    <xf numFmtId="2" fontId="8" fillId="12" borderId="14" xfId="0" applyNumberFormat="1" applyFont="1" applyFill="1" applyBorder="1" applyAlignment="1">
      <alignment horizontal="center" vertical="center" wrapText="1"/>
    </xf>
    <xf numFmtId="2" fontId="8" fillId="12" borderId="12" xfId="0" applyNumberFormat="1" applyFont="1" applyFill="1" applyBorder="1" applyAlignment="1">
      <alignment horizontal="center" vertical="center" wrapText="1"/>
    </xf>
    <xf numFmtId="3" fontId="9" fillId="12" borderId="12" xfId="0" applyNumberFormat="1" applyFont="1" applyFill="1" applyBorder="1" applyAlignment="1">
      <alignment horizontal="center" vertical="center" wrapText="1"/>
    </xf>
    <xf numFmtId="3" fontId="8" fillId="12" borderId="12" xfId="0" applyNumberFormat="1" applyFont="1" applyFill="1" applyBorder="1" applyAlignment="1">
      <alignment horizontal="center" vertical="center" wrapText="1"/>
    </xf>
    <xf numFmtId="3" fontId="8" fillId="12" borderId="13" xfId="0" applyNumberFormat="1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textRotation="90" wrapText="1"/>
    </xf>
    <xf numFmtId="0" fontId="4" fillId="8" borderId="10" xfId="0" applyFont="1" applyFill="1" applyBorder="1" applyAlignment="1">
      <alignment horizontal="center" vertical="center" textRotation="90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ukesh%20office%20data/Nitin%20Soni,%20JSO/April%202025/Software/copy%20of%20SOFTWARE1_v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 Window"/>
      <sheetName val="Sheet4"/>
      <sheetName val="PivotTable"/>
      <sheetName val="Interface"/>
      <sheetName val="Data"/>
      <sheetName val="Sheet3"/>
      <sheetName val="Sheet1"/>
      <sheetName val="Sheet5"/>
      <sheetName val="Sheet2"/>
      <sheetName val="FRT ONLY"/>
      <sheetName val="Sheet6"/>
      <sheetName val="Monthly_Template"/>
      <sheetName val="Sheet15"/>
      <sheetName val="DOMESTIC"/>
      <sheetName val="INTERNATIONAL"/>
    </sheetNames>
    <sheetDataSet>
      <sheetData sheetId="0"/>
      <sheetData sheetId="1"/>
      <sheetData sheetId="2"/>
      <sheetData sheetId="3">
        <row r="7">
          <cell r="AQ7" t="str">
            <v>SECTOR</v>
          </cell>
          <cell r="AR7" t="str">
            <v xml:space="preserve">DEPARTURES </v>
          </cell>
          <cell r="AT7" t="str">
            <v>AIR ASIA</v>
          </cell>
        </row>
        <row r="8">
          <cell r="AQ8" t="str">
            <v>AIRLINE</v>
          </cell>
          <cell r="AR8" t="str">
            <v xml:space="preserve">HOURS </v>
          </cell>
          <cell r="AT8" t="str">
            <v>AIR CARNIVAL</v>
          </cell>
        </row>
        <row r="9">
          <cell r="AQ9" t="str">
            <v>SERVICE</v>
          </cell>
          <cell r="AR9" t="str">
            <v xml:space="preserve"> KMS. </v>
          </cell>
          <cell r="AT9" t="str">
            <v>AIR COSTA</v>
          </cell>
        </row>
        <row r="10">
          <cell r="AQ10" t="str">
            <v>Carrier</v>
          </cell>
          <cell r="AR10" t="str">
            <v>PAX</v>
          </cell>
          <cell r="AT10" t="str">
            <v>AIR DECCAN</v>
          </cell>
        </row>
        <row r="11">
          <cell r="AQ11" t="str">
            <v>YEAR</v>
          </cell>
          <cell r="AR11" t="str">
            <v xml:space="preserve">RPKM </v>
          </cell>
          <cell r="AT11" t="str">
            <v>AIR HERITAGE</v>
          </cell>
        </row>
        <row r="12">
          <cell r="AQ12" t="str">
            <v>MONTH</v>
          </cell>
          <cell r="AR12" t="str">
            <v>ASKM</v>
          </cell>
          <cell r="AT12" t="str">
            <v>AIR INDIA</v>
          </cell>
        </row>
        <row r="13">
          <cell r="AQ13" t="str">
            <v>FY</v>
          </cell>
          <cell r="AR13" t="str">
            <v xml:space="preserve"> FREIGHT</v>
          </cell>
          <cell r="AT13" t="str">
            <v>AIR INDIA EXPRESS</v>
          </cell>
        </row>
        <row r="14">
          <cell r="AR14" t="str">
            <v>MAIL</v>
          </cell>
          <cell r="AT14" t="str">
            <v>AIR ODISHA</v>
          </cell>
        </row>
        <row r="15">
          <cell r="AR15" t="str">
            <v>CARGO</v>
          </cell>
          <cell r="AT15" t="str">
            <v>AIR PEGASUS</v>
          </cell>
        </row>
        <row r="16">
          <cell r="AR16" t="str">
            <v>PTKM</v>
          </cell>
          <cell r="AT16" t="str">
            <v>ALLIANCE AIR</v>
          </cell>
        </row>
        <row r="17">
          <cell r="AR17" t="str">
            <v>FTKM</v>
          </cell>
          <cell r="AT17" t="str">
            <v>BLUEDART</v>
          </cell>
        </row>
        <row r="18">
          <cell r="AR18" t="str">
            <v>MTKM</v>
          </cell>
          <cell r="AT18" t="str">
            <v>DECCAN</v>
          </cell>
        </row>
        <row r="19">
          <cell r="AR19" t="str">
            <v>RTKM</v>
          </cell>
          <cell r="AT19" t="str">
            <v>GO AIR</v>
          </cell>
        </row>
        <row r="20">
          <cell r="AR20" t="str">
            <v>ATKM</v>
          </cell>
          <cell r="AT20" t="str">
            <v>INDIGO</v>
          </cell>
        </row>
        <row r="21">
          <cell r="AT21" t="str">
            <v>JET AIRWAYS</v>
          </cell>
        </row>
        <row r="22">
          <cell r="AT22" t="str">
            <v>JETLITE</v>
          </cell>
        </row>
        <row r="23">
          <cell r="AT23" t="str">
            <v>FLYBIG</v>
          </cell>
        </row>
        <row r="24">
          <cell r="AT24" t="str">
            <v>KINGFISHER</v>
          </cell>
        </row>
        <row r="25">
          <cell r="AT25" t="str">
            <v>AIR TAXI</v>
          </cell>
        </row>
        <row r="26">
          <cell r="AT26" t="str">
            <v>MDLR</v>
          </cell>
        </row>
        <row r="27">
          <cell r="AT27" t="str">
            <v>PARAMOUNT</v>
          </cell>
        </row>
        <row r="28">
          <cell r="AT28" t="str">
            <v>QUIKJET CARGO</v>
          </cell>
        </row>
        <row r="29">
          <cell r="AT29" t="str">
            <v>SPICEJET</v>
          </cell>
        </row>
        <row r="30">
          <cell r="AT30" t="str">
            <v>STAR AIR</v>
          </cell>
        </row>
        <row r="31">
          <cell r="AT31" t="str">
            <v>TRUJET</v>
          </cell>
        </row>
        <row r="32">
          <cell r="AT32" t="str">
            <v>VISTARA</v>
          </cell>
        </row>
        <row r="33">
          <cell r="AT33" t="str">
            <v>ZOOM AIR</v>
          </cell>
        </row>
        <row r="34">
          <cell r="AT34" t="str">
            <v>PAWAN HANS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" transitionEvaluation="1" transitionEntry="1"/>
  <dimension ref="A1:Q494"/>
  <sheetViews>
    <sheetView showGridLines="0" tabSelected="1" view="pageBreakPreview" zoomScale="85" zoomScaleNormal="85" zoomScaleSheetLayoutView="85" workbookViewId="0">
      <selection activeCell="K69" sqref="K69"/>
    </sheetView>
  </sheetViews>
  <sheetFormatPr defaultColWidth="11.42578125" defaultRowHeight="15" x14ac:dyDescent="0.25"/>
  <cols>
    <col min="1" max="1" width="10.42578125" customWidth="1"/>
    <col min="2" max="2" width="9.7109375" customWidth="1"/>
    <col min="3" max="3" width="10.28515625" customWidth="1"/>
    <col min="4" max="4" width="10.85546875" customWidth="1"/>
    <col min="5" max="5" width="12.7109375" customWidth="1"/>
    <col min="6" max="6" width="12.42578125" customWidth="1"/>
    <col min="7" max="7" width="12.140625" customWidth="1"/>
    <col min="8" max="8" width="6.7109375" customWidth="1"/>
    <col min="9" max="9" width="11.28515625" customWidth="1"/>
    <col min="10" max="10" width="9.42578125" customWidth="1"/>
    <col min="11" max="11" width="11.28515625" customWidth="1"/>
    <col min="12" max="12" width="12.85546875" customWidth="1"/>
    <col min="13" max="13" width="11.28515625" customWidth="1"/>
    <col min="14" max="14" width="9.140625" customWidth="1"/>
    <col min="15" max="15" width="12.85546875" customWidth="1"/>
    <col min="16" max="16" width="12.7109375" customWidth="1"/>
    <col min="17" max="17" width="6.7109375" customWidth="1"/>
  </cols>
  <sheetData>
    <row r="1" spans="1:17" ht="46.5" customHeight="1" x14ac:dyDescent="0.25">
      <c r="A1" s="128" t="s">
        <v>42</v>
      </c>
      <c r="B1" s="129"/>
      <c r="C1" s="130" t="s">
        <v>0</v>
      </c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1" t="s">
        <v>41</v>
      </c>
      <c r="P1" s="131"/>
      <c r="Q1" s="132"/>
    </row>
    <row r="2" spans="1:17" ht="49.5" customHeight="1" x14ac:dyDescent="0.25">
      <c r="A2" s="133" t="s">
        <v>1</v>
      </c>
      <c r="B2" s="135" t="s">
        <v>2</v>
      </c>
      <c r="C2" s="135"/>
      <c r="D2" s="135"/>
      <c r="E2" s="136" t="s">
        <v>3</v>
      </c>
      <c r="F2" s="136" t="s">
        <v>4</v>
      </c>
      <c r="G2" s="136" t="s">
        <v>5</v>
      </c>
      <c r="H2" s="136" t="s">
        <v>37</v>
      </c>
      <c r="I2" s="135" t="s">
        <v>6</v>
      </c>
      <c r="J2" s="135"/>
      <c r="K2" s="135"/>
      <c r="L2" s="135" t="s">
        <v>7</v>
      </c>
      <c r="M2" s="135"/>
      <c r="N2" s="135"/>
      <c r="O2" s="135"/>
      <c r="P2" s="136" t="s">
        <v>8</v>
      </c>
      <c r="Q2" s="136" t="s">
        <v>38</v>
      </c>
    </row>
    <row r="3" spans="1:17" ht="155.25" customHeight="1" x14ac:dyDescent="0.25">
      <c r="A3" s="134"/>
      <c r="B3" s="42" t="s">
        <v>9</v>
      </c>
      <c r="C3" s="42" t="s">
        <v>10</v>
      </c>
      <c r="D3" s="42" t="s">
        <v>11</v>
      </c>
      <c r="E3" s="136"/>
      <c r="F3" s="136"/>
      <c r="G3" s="136"/>
      <c r="H3" s="136"/>
      <c r="I3" s="42" t="s">
        <v>12</v>
      </c>
      <c r="J3" s="42" t="s">
        <v>13</v>
      </c>
      <c r="K3" s="42" t="s">
        <v>14</v>
      </c>
      <c r="L3" s="42" t="s">
        <v>15</v>
      </c>
      <c r="M3" s="42" t="s">
        <v>16</v>
      </c>
      <c r="N3" s="42" t="s">
        <v>17</v>
      </c>
      <c r="O3" s="42" t="s">
        <v>18</v>
      </c>
      <c r="P3" s="136"/>
      <c r="Q3" s="136"/>
    </row>
    <row r="4" spans="1:17" ht="23.1" customHeight="1" x14ac:dyDescent="0.25">
      <c r="A4" s="20" t="s">
        <v>19</v>
      </c>
      <c r="B4" s="21">
        <v>11270</v>
      </c>
      <c r="C4" s="21">
        <v>21145.333333333299</v>
      </c>
      <c r="D4" s="22">
        <v>10986.944</v>
      </c>
      <c r="E4" s="23">
        <v>1736876</v>
      </c>
      <c r="F4" s="21">
        <v>1728181.1980000001</v>
      </c>
      <c r="G4" s="21">
        <v>2002604.183</v>
      </c>
      <c r="H4" s="25">
        <v>86.3</v>
      </c>
      <c r="I4" s="26">
        <v>9184.0030000000006</v>
      </c>
      <c r="J4" s="27">
        <v>0</v>
      </c>
      <c r="K4" s="25">
        <v>9184.0030000000006</v>
      </c>
      <c r="L4" s="26">
        <v>172818.11979999999</v>
      </c>
      <c r="M4" s="27">
        <v>10516.844824</v>
      </c>
      <c r="N4" s="27">
        <v>0</v>
      </c>
      <c r="O4" s="25">
        <v>183334.96462399999</v>
      </c>
      <c r="P4" s="27">
        <v>219738.88</v>
      </c>
      <c r="Q4" s="25">
        <v>83.43</v>
      </c>
    </row>
    <row r="5" spans="1:17" ht="23.1" customHeight="1" x14ac:dyDescent="0.25">
      <c r="A5" s="43" t="s">
        <v>20</v>
      </c>
      <c r="B5" s="64">
        <v>10196</v>
      </c>
      <c r="C5" s="64">
        <v>19249.866666666701</v>
      </c>
      <c r="D5" s="53">
        <v>10042.878000000001</v>
      </c>
      <c r="E5" s="75">
        <v>1605622</v>
      </c>
      <c r="F5" s="64">
        <v>1616320.335</v>
      </c>
      <c r="G5" s="64">
        <v>1831390.3729999999</v>
      </c>
      <c r="H5" s="84">
        <v>88.26</v>
      </c>
      <c r="I5" s="93">
        <v>6903.5200999999997</v>
      </c>
      <c r="J5" s="102">
        <v>321.64255900000001</v>
      </c>
      <c r="K5" s="84">
        <v>7225.1626589999996</v>
      </c>
      <c r="L5" s="93">
        <v>161632.03349999999</v>
      </c>
      <c r="M5" s="102">
        <v>7953.3610935999995</v>
      </c>
      <c r="N5" s="102">
        <v>309.31142235099998</v>
      </c>
      <c r="O5" s="84">
        <v>169894.706015951</v>
      </c>
      <c r="P5" s="102">
        <v>251071.95</v>
      </c>
      <c r="Q5" s="84">
        <v>67.67</v>
      </c>
    </row>
    <row r="6" spans="1:17" ht="23.1" customHeight="1" x14ac:dyDescent="0.25">
      <c r="A6" s="45" t="s">
        <v>21</v>
      </c>
      <c r="B6" s="29">
        <v>10947</v>
      </c>
      <c r="C6" s="29">
        <v>20419.383333333299</v>
      </c>
      <c r="D6" s="28">
        <v>10572.9548750822</v>
      </c>
      <c r="E6" s="30">
        <v>1604684</v>
      </c>
      <c r="F6" s="29">
        <v>1604017.51987815</v>
      </c>
      <c r="G6" s="29">
        <v>1924721.2680190699</v>
      </c>
      <c r="H6" s="31">
        <v>83.34</v>
      </c>
      <c r="I6" s="32">
        <v>7110.1390000000001</v>
      </c>
      <c r="J6" s="33">
        <v>322.47895699999998</v>
      </c>
      <c r="K6" s="31">
        <v>7432.6179570000004</v>
      </c>
      <c r="L6" s="32">
        <v>160401.75198781499</v>
      </c>
      <c r="M6" s="33">
        <v>8332.7911115136994</v>
      </c>
      <c r="N6" s="33">
        <v>300.03862519299997</v>
      </c>
      <c r="O6" s="31">
        <v>169034.581724522</v>
      </c>
      <c r="P6" s="33">
        <v>264323.87187705497</v>
      </c>
      <c r="Q6" s="31">
        <v>63.95</v>
      </c>
    </row>
    <row r="7" spans="1:17" ht="23.1" customHeight="1" x14ac:dyDescent="0.25">
      <c r="A7" s="43" t="s">
        <v>22</v>
      </c>
      <c r="B7" s="64">
        <v>10265</v>
      </c>
      <c r="C7" s="64">
        <v>19013.45</v>
      </c>
      <c r="D7" s="53">
        <v>9800.2682742901106</v>
      </c>
      <c r="E7" s="75">
        <v>1460627</v>
      </c>
      <c r="F7" s="64">
        <v>1451110.7684496399</v>
      </c>
      <c r="G7" s="64">
        <v>1792098.5875204799</v>
      </c>
      <c r="H7" s="84">
        <v>80.97</v>
      </c>
      <c r="I7" s="93">
        <v>6905.5950220000004</v>
      </c>
      <c r="J7" s="102">
        <v>0</v>
      </c>
      <c r="K7" s="84">
        <v>6905.5950220000004</v>
      </c>
      <c r="L7" s="93">
        <v>145111.07684496301</v>
      </c>
      <c r="M7" s="102">
        <v>7475.1948112689997</v>
      </c>
      <c r="N7" s="102">
        <v>0</v>
      </c>
      <c r="O7" s="84">
        <v>152586.27165623201</v>
      </c>
      <c r="P7" s="102">
        <v>245006.70685725199</v>
      </c>
      <c r="Q7" s="84">
        <v>62.28</v>
      </c>
    </row>
    <row r="8" spans="1:17" ht="30" customHeight="1" x14ac:dyDescent="0.25">
      <c r="A8" s="45" t="s">
        <v>23</v>
      </c>
      <c r="B8" s="29">
        <v>11616</v>
      </c>
      <c r="C8" s="29">
        <v>21999.683333333302</v>
      </c>
      <c r="D8" s="28">
        <v>11556.960643</v>
      </c>
      <c r="E8" s="30">
        <v>1788544</v>
      </c>
      <c r="F8" s="29">
        <v>1829036.8111320001</v>
      </c>
      <c r="G8" s="29">
        <v>2114765.7004240002</v>
      </c>
      <c r="H8" s="31">
        <v>86.49</v>
      </c>
      <c r="I8" s="32">
        <v>7837.4792356776397</v>
      </c>
      <c r="J8" s="33">
        <v>0</v>
      </c>
      <c r="K8" s="31">
        <v>7837.4792356776397</v>
      </c>
      <c r="L8" s="32">
        <v>182903.6811132</v>
      </c>
      <c r="M8" s="33">
        <v>8926.9684388232599</v>
      </c>
      <c r="N8" s="33">
        <v>0</v>
      </c>
      <c r="O8" s="31">
        <v>191830.649552024</v>
      </c>
      <c r="P8" s="33">
        <v>288924.016074999</v>
      </c>
      <c r="Q8" s="31">
        <v>66.39</v>
      </c>
    </row>
    <row r="9" spans="1:17" ht="23.1" customHeight="1" x14ac:dyDescent="0.25">
      <c r="A9" s="43" t="s">
        <v>39</v>
      </c>
      <c r="B9" s="64">
        <v>10003</v>
      </c>
      <c r="C9" s="64">
        <v>19091.716667000001</v>
      </c>
      <c r="D9" s="53">
        <v>10048.8717</v>
      </c>
      <c r="E9" s="75">
        <v>1577340</v>
      </c>
      <c r="F9" s="64">
        <v>1615916.88</v>
      </c>
      <c r="G9" s="64">
        <v>1848920.25</v>
      </c>
      <c r="H9" s="84">
        <v>87.4</v>
      </c>
      <c r="I9" s="93">
        <v>7816.2918600000003</v>
      </c>
      <c r="J9" s="102">
        <v>484.69389999999999</v>
      </c>
      <c r="K9" s="84">
        <v>8300.9857599999996</v>
      </c>
      <c r="L9" s="93">
        <v>161591.68799999999</v>
      </c>
      <c r="M9" s="102">
        <v>9183.7321300000003</v>
      </c>
      <c r="N9" s="102">
        <v>96.530839999999998</v>
      </c>
      <c r="O9" s="84">
        <v>170871.95097000001</v>
      </c>
      <c r="P9" s="102">
        <v>251221.79199999999</v>
      </c>
      <c r="Q9" s="84">
        <v>68.02</v>
      </c>
    </row>
    <row r="10" spans="1:17" ht="23.1" customHeight="1" x14ac:dyDescent="0.25">
      <c r="A10" s="45" t="s">
        <v>24</v>
      </c>
      <c r="B10" s="29">
        <v>8366</v>
      </c>
      <c r="C10" s="29">
        <v>15770.916667</v>
      </c>
      <c r="D10" s="28">
        <v>8230.3110749999996</v>
      </c>
      <c r="E10" s="30">
        <v>1302423</v>
      </c>
      <c r="F10" s="29">
        <v>1307901.2429299999</v>
      </c>
      <c r="G10" s="29">
        <v>1523459.57922</v>
      </c>
      <c r="H10" s="31">
        <v>85.85</v>
      </c>
      <c r="I10" s="32">
        <v>7257.831725</v>
      </c>
      <c r="J10" s="33">
        <v>270.46437900000001</v>
      </c>
      <c r="K10" s="31">
        <v>7528.296104</v>
      </c>
      <c r="L10" s="32">
        <v>130790.124293</v>
      </c>
      <c r="M10" s="33">
        <v>8489.9926230000001</v>
      </c>
      <c r="N10" s="33">
        <v>67.177852999999999</v>
      </c>
      <c r="O10" s="31">
        <v>139347.294769</v>
      </c>
      <c r="P10" s="33">
        <v>205757.77687500001</v>
      </c>
      <c r="Q10" s="31">
        <v>67.72</v>
      </c>
    </row>
    <row r="11" spans="1:17" ht="23.1" customHeight="1" x14ac:dyDescent="0.25">
      <c r="A11" s="43" t="s">
        <v>25</v>
      </c>
      <c r="B11" s="64">
        <v>9460</v>
      </c>
      <c r="C11" s="64">
        <v>17984</v>
      </c>
      <c r="D11" s="53">
        <v>9420.9011530000207</v>
      </c>
      <c r="E11" s="75">
        <v>1411877</v>
      </c>
      <c r="F11" s="64">
        <v>1427813.89815</v>
      </c>
      <c r="G11" s="64">
        <v>1752636.431779</v>
      </c>
      <c r="H11" s="84">
        <v>81.47</v>
      </c>
      <c r="I11" s="93">
        <v>7547</v>
      </c>
      <c r="J11" s="102">
        <v>343</v>
      </c>
      <c r="K11" s="84">
        <v>7890</v>
      </c>
      <c r="L11" s="93">
        <v>142781.389815</v>
      </c>
      <c r="M11" s="102">
        <v>8800.8955179999903</v>
      </c>
      <c r="N11" s="102">
        <v>48.279170999999998</v>
      </c>
      <c r="O11" s="84">
        <v>151630.56450400001</v>
      </c>
      <c r="P11" s="102">
        <v>235522.52882499999</v>
      </c>
      <c r="Q11" s="84">
        <v>64.38</v>
      </c>
    </row>
    <row r="12" spans="1:17" ht="23.1" customHeight="1" x14ac:dyDescent="0.25">
      <c r="A12" s="45" t="s">
        <v>26</v>
      </c>
      <c r="B12" s="29"/>
      <c r="C12" s="29"/>
      <c r="D12" s="28"/>
      <c r="E12" s="30"/>
      <c r="F12" s="29"/>
      <c r="G12" s="29"/>
      <c r="H12" s="31"/>
      <c r="I12" s="32"/>
      <c r="J12" s="33"/>
      <c r="K12" s="31"/>
      <c r="L12" s="32"/>
      <c r="M12" s="33"/>
      <c r="N12" s="33"/>
      <c r="O12" s="31"/>
      <c r="P12" s="33"/>
      <c r="Q12" s="31"/>
    </row>
    <row r="13" spans="1:17" ht="23.1" customHeight="1" x14ac:dyDescent="0.25">
      <c r="A13" s="43" t="s">
        <v>27</v>
      </c>
      <c r="B13" s="64"/>
      <c r="C13" s="64"/>
      <c r="D13" s="53"/>
      <c r="E13" s="75"/>
      <c r="F13" s="64"/>
      <c r="G13" s="64"/>
      <c r="H13" s="84"/>
      <c r="I13" s="93"/>
      <c r="J13" s="102"/>
      <c r="K13" s="84"/>
      <c r="L13" s="93"/>
      <c r="M13" s="102"/>
      <c r="N13" s="102"/>
      <c r="O13" s="84"/>
      <c r="P13" s="102"/>
      <c r="Q13" s="84"/>
    </row>
    <row r="14" spans="1:17" ht="23.1" customHeight="1" x14ac:dyDescent="0.25">
      <c r="A14" s="45" t="s">
        <v>28</v>
      </c>
      <c r="B14" s="29"/>
      <c r="C14" s="29"/>
      <c r="D14" s="28"/>
      <c r="E14" s="30"/>
      <c r="F14" s="29"/>
      <c r="G14" s="29"/>
      <c r="H14" s="31"/>
      <c r="I14" s="32"/>
      <c r="J14" s="33"/>
      <c r="K14" s="31"/>
      <c r="L14" s="32"/>
      <c r="M14" s="33"/>
      <c r="N14" s="33"/>
      <c r="O14" s="31"/>
      <c r="P14" s="33"/>
      <c r="Q14" s="31"/>
    </row>
    <row r="15" spans="1:17" ht="23.1" customHeight="1" x14ac:dyDescent="0.25">
      <c r="A15" s="121" t="s">
        <v>29</v>
      </c>
      <c r="B15" s="2"/>
      <c r="C15" s="2"/>
      <c r="D15" s="13"/>
      <c r="E15" s="24"/>
      <c r="F15" s="2"/>
      <c r="G15" s="2"/>
      <c r="H15" s="35"/>
      <c r="I15" s="44"/>
      <c r="J15" s="49"/>
      <c r="K15" s="35"/>
      <c r="L15" s="44"/>
      <c r="M15" s="49"/>
      <c r="N15" s="49"/>
      <c r="O15" s="35"/>
      <c r="P15" s="102"/>
      <c r="Q15" s="84"/>
    </row>
    <row r="16" spans="1:17" ht="23.1" customHeight="1" x14ac:dyDescent="0.25">
      <c r="A16" s="34" t="s">
        <v>30</v>
      </c>
      <c r="B16" s="36">
        <f t="shared" ref="B16:G16" si="0">IFERROR(SUM(B4:B15),"")</f>
        <v>82123</v>
      </c>
      <c r="C16" s="36">
        <f t="shared" si="0"/>
        <v>154674.3500006666</v>
      </c>
      <c r="D16" s="36">
        <f t="shared" si="0"/>
        <v>80660.089720372343</v>
      </c>
      <c r="E16" s="36">
        <f t="shared" si="0"/>
        <v>12487993</v>
      </c>
      <c r="F16" s="36">
        <f t="shared" si="0"/>
        <v>12580298.65353979</v>
      </c>
      <c r="G16" s="36">
        <f t="shared" si="0"/>
        <v>14790596.372962549</v>
      </c>
      <c r="H16" s="37">
        <f>IFERROR(F16/G16*100,"")</f>
        <v>85.056060866732736</v>
      </c>
      <c r="I16" s="37">
        <f t="shared" ref="I16:P16" si="1">IFERROR(SUM(I4:I15),"")</f>
        <v>60561.859942677635</v>
      </c>
      <c r="J16" s="37">
        <f t="shared" si="1"/>
        <v>1742.2797949999999</v>
      </c>
      <c r="K16" s="37">
        <f t="shared" si="1"/>
        <v>62304.139737677637</v>
      </c>
      <c r="L16" s="37">
        <f t="shared" si="1"/>
        <v>1258029.8653539782</v>
      </c>
      <c r="M16" s="37">
        <f t="shared" si="1"/>
        <v>69679.780550205949</v>
      </c>
      <c r="N16" s="37">
        <f t="shared" si="1"/>
        <v>821.33791154400001</v>
      </c>
      <c r="O16" s="37">
        <f t="shared" si="1"/>
        <v>1328530.9838157292</v>
      </c>
      <c r="P16" s="38">
        <f t="shared" si="1"/>
        <v>1961567.5225093057</v>
      </c>
      <c r="Q16" s="38">
        <f>IFERROR(O16/P16*100,"")</f>
        <v>67.728027129865296</v>
      </c>
    </row>
    <row r="17" spans="1:17" ht="20.100000000000001" customHeight="1" x14ac:dyDescent="0.25">
      <c r="A17" s="137" t="s">
        <v>43</v>
      </c>
      <c r="B17" s="138"/>
      <c r="C17" s="138"/>
      <c r="D17" s="138"/>
      <c r="E17" s="138"/>
      <c r="F17" s="138"/>
      <c r="G17" s="138"/>
      <c r="H17" s="138"/>
      <c r="I17" s="138"/>
      <c r="J17" s="138"/>
      <c r="K17" s="138"/>
      <c r="L17" s="138"/>
      <c r="M17" s="138"/>
      <c r="N17" s="138"/>
      <c r="O17" s="138"/>
      <c r="P17" s="138"/>
      <c r="Q17" s="138"/>
    </row>
    <row r="18" spans="1:17" ht="15.75" x14ac:dyDescent="0.25">
      <c r="A18" s="127" t="s">
        <v>31</v>
      </c>
      <c r="B18" s="127"/>
      <c r="C18" s="127"/>
      <c r="D18" s="127"/>
      <c r="E18" s="127"/>
      <c r="F18" s="127"/>
      <c r="G18" s="127"/>
      <c r="H18" s="127"/>
      <c r="I18" s="127"/>
      <c r="J18" s="127"/>
      <c r="K18" s="127"/>
      <c r="L18" s="127"/>
      <c r="M18" s="127"/>
      <c r="N18" s="127"/>
      <c r="O18" s="127"/>
      <c r="P18" s="127"/>
      <c r="Q18" s="127"/>
    </row>
    <row r="19" spans="1:17" ht="15.75" x14ac:dyDescent="0.25">
      <c r="A19" s="127" t="s">
        <v>32</v>
      </c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</row>
    <row r="20" spans="1:17" ht="51.75" customHeight="1" x14ac:dyDescent="0.25">
      <c r="A20" s="139" t="s">
        <v>42</v>
      </c>
      <c r="B20" s="140"/>
      <c r="C20" s="141" t="s">
        <v>33</v>
      </c>
      <c r="D20" s="141"/>
      <c r="E20" s="141"/>
      <c r="F20" s="141"/>
      <c r="G20" s="141"/>
      <c r="H20" s="141"/>
      <c r="I20" s="141"/>
      <c r="J20" s="141"/>
      <c r="K20" s="141"/>
      <c r="L20" s="141"/>
      <c r="M20" s="141"/>
      <c r="N20" s="141"/>
      <c r="O20" s="142" t="s">
        <v>41</v>
      </c>
      <c r="P20" s="142"/>
      <c r="Q20" s="143"/>
    </row>
    <row r="21" spans="1:17" ht="51" customHeight="1" x14ac:dyDescent="0.25">
      <c r="A21" s="144" t="s">
        <v>1</v>
      </c>
      <c r="B21" s="144" t="s">
        <v>2</v>
      </c>
      <c r="C21" s="144"/>
      <c r="D21" s="144"/>
      <c r="E21" s="145" t="s">
        <v>3</v>
      </c>
      <c r="F21" s="145" t="s">
        <v>4</v>
      </c>
      <c r="G21" s="145" t="s">
        <v>5</v>
      </c>
      <c r="H21" s="145" t="s">
        <v>37</v>
      </c>
      <c r="I21" s="144" t="s">
        <v>6</v>
      </c>
      <c r="J21" s="144"/>
      <c r="K21" s="144"/>
      <c r="L21" s="144" t="s">
        <v>7</v>
      </c>
      <c r="M21" s="144"/>
      <c r="N21" s="144"/>
      <c r="O21" s="144"/>
      <c r="P21" s="145" t="s">
        <v>8</v>
      </c>
      <c r="Q21" s="145" t="s">
        <v>38</v>
      </c>
    </row>
    <row r="22" spans="1:17" ht="150.75" customHeight="1" x14ac:dyDescent="0.25">
      <c r="A22" s="144"/>
      <c r="B22" s="19" t="s">
        <v>9</v>
      </c>
      <c r="C22" s="19" t="s">
        <v>10</v>
      </c>
      <c r="D22" s="19" t="s">
        <v>11</v>
      </c>
      <c r="E22" s="145"/>
      <c r="F22" s="145"/>
      <c r="G22" s="145"/>
      <c r="H22" s="145"/>
      <c r="I22" s="19" t="s">
        <v>12</v>
      </c>
      <c r="J22" s="19" t="s">
        <v>13</v>
      </c>
      <c r="K22" s="19" t="s">
        <v>14</v>
      </c>
      <c r="L22" s="41" t="s">
        <v>15</v>
      </c>
      <c r="M22" s="41" t="s">
        <v>16</v>
      </c>
      <c r="N22" s="41" t="s">
        <v>17</v>
      </c>
      <c r="O22" s="41" t="s">
        <v>18</v>
      </c>
      <c r="P22" s="146"/>
      <c r="Q22" s="146"/>
    </row>
    <row r="23" spans="1:17" ht="23.1" customHeight="1" x14ac:dyDescent="0.25">
      <c r="A23" s="15" t="s">
        <v>19</v>
      </c>
      <c r="B23" s="7">
        <v>3603</v>
      </c>
      <c r="C23" s="8">
        <v>15000.083333333299</v>
      </c>
      <c r="D23" s="9">
        <v>9740.4942223744401</v>
      </c>
      <c r="E23" s="7">
        <v>588317</v>
      </c>
      <c r="F23" s="8">
        <v>1590794.94140669</v>
      </c>
      <c r="G23" s="8">
        <v>1791836.58709854</v>
      </c>
      <c r="H23" s="10">
        <v>88.78</v>
      </c>
      <c r="I23" s="11">
        <v>2226.3829999999998</v>
      </c>
      <c r="J23" s="11">
        <v>0</v>
      </c>
      <c r="K23" s="11">
        <v>2226.3829999999998</v>
      </c>
      <c r="L23" s="12">
        <v>122965.56109077101</v>
      </c>
      <c r="M23" s="11">
        <v>6181.1686916624803</v>
      </c>
      <c r="N23" s="11">
        <v>0</v>
      </c>
      <c r="O23" s="14">
        <v>129146.729782433</v>
      </c>
      <c r="P23" s="12">
        <v>194809.88444748899</v>
      </c>
      <c r="Q23" s="14">
        <v>66.290000000000006</v>
      </c>
    </row>
    <row r="24" spans="1:17" ht="23.1" customHeight="1" x14ac:dyDescent="0.25">
      <c r="A24" s="51" t="s">
        <v>20</v>
      </c>
      <c r="B24" s="51">
        <v>3190</v>
      </c>
      <c r="C24" s="50">
        <v>13265.25</v>
      </c>
      <c r="D24" s="52">
        <v>8631.60834623546</v>
      </c>
      <c r="E24" s="51">
        <v>499213</v>
      </c>
      <c r="F24" s="50">
        <v>1345341.1230728501</v>
      </c>
      <c r="G24" s="50">
        <v>1584026.18951142</v>
      </c>
      <c r="H24" s="54">
        <v>84.93</v>
      </c>
      <c r="I24" s="55">
        <v>2073.9775</v>
      </c>
      <c r="J24" s="55">
        <v>10.388</v>
      </c>
      <c r="K24" s="55">
        <v>2084.3654999999999</v>
      </c>
      <c r="L24" s="56">
        <v>100900.584230464</v>
      </c>
      <c r="M24" s="55">
        <v>5756.1993173825003</v>
      </c>
      <c r="N24" s="55">
        <v>23.266342919341501</v>
      </c>
      <c r="O24" s="54">
        <v>106680.049890765</v>
      </c>
      <c r="P24" s="56">
        <v>172632.16692471001</v>
      </c>
      <c r="Q24" s="54">
        <v>61.8</v>
      </c>
    </row>
    <row r="25" spans="1:17" ht="23.1" customHeight="1" x14ac:dyDescent="0.25">
      <c r="A25" s="15" t="s">
        <v>21</v>
      </c>
      <c r="B25" s="15">
        <v>1263</v>
      </c>
      <c r="C25" s="6">
        <v>5113.6666666666697</v>
      </c>
      <c r="D25" s="16">
        <v>3247.6772980769301</v>
      </c>
      <c r="E25" s="15">
        <v>168446</v>
      </c>
      <c r="F25" s="6">
        <v>436154.82509427401</v>
      </c>
      <c r="G25" s="6">
        <v>590700.70995826903</v>
      </c>
      <c r="H25" s="10">
        <v>73.84</v>
      </c>
      <c r="I25" s="17">
        <v>808.28300000000002</v>
      </c>
      <c r="J25" s="17">
        <v>0</v>
      </c>
      <c r="K25" s="17">
        <v>808.28300000000002</v>
      </c>
      <c r="L25" s="18">
        <v>33235.579281686303</v>
      </c>
      <c r="M25" s="17">
        <v>2121.72277895973</v>
      </c>
      <c r="N25" s="17">
        <v>0</v>
      </c>
      <c r="O25" s="10">
        <v>35357.302060645998</v>
      </c>
      <c r="P25" s="18">
        <v>81191.932451923203</v>
      </c>
      <c r="Q25" s="10">
        <v>43.55</v>
      </c>
    </row>
    <row r="26" spans="1:17" ht="23.1" customHeight="1" x14ac:dyDescent="0.25">
      <c r="A26" s="51" t="s">
        <v>22</v>
      </c>
      <c r="B26" s="51">
        <v>1288</v>
      </c>
      <c r="C26" s="50">
        <v>5256</v>
      </c>
      <c r="D26" s="52">
        <v>3429.9837603229898</v>
      </c>
      <c r="E26" s="51">
        <v>187157</v>
      </c>
      <c r="F26" s="50">
        <v>489030.08340410999</v>
      </c>
      <c r="G26" s="50">
        <v>619107.01634895406</v>
      </c>
      <c r="H26" s="54">
        <v>78.989999999999995</v>
      </c>
      <c r="I26" s="55">
        <v>890.03240000000005</v>
      </c>
      <c r="J26" s="55">
        <v>0</v>
      </c>
      <c r="K26" s="55">
        <v>890.03240000000005</v>
      </c>
      <c r="L26" s="56">
        <v>36837.8362528664</v>
      </c>
      <c r="M26" s="55">
        <v>2190.8622889624598</v>
      </c>
      <c r="N26" s="55">
        <v>0</v>
      </c>
      <c r="O26" s="54">
        <v>39028.698541828802</v>
      </c>
      <c r="P26" s="56">
        <v>85749.594008074593</v>
      </c>
      <c r="Q26" s="54">
        <v>45.51</v>
      </c>
    </row>
    <row r="27" spans="1:17" ht="30" customHeight="1" x14ac:dyDescent="0.25">
      <c r="A27" s="15" t="s">
        <v>23</v>
      </c>
      <c r="B27" s="15">
        <v>2111</v>
      </c>
      <c r="C27" s="6">
        <v>8743.3333333333303</v>
      </c>
      <c r="D27" s="16">
        <v>5658.6879799999997</v>
      </c>
      <c r="E27" s="15">
        <v>292149</v>
      </c>
      <c r="F27" s="6">
        <v>770842.43408000004</v>
      </c>
      <c r="G27" s="6">
        <v>1029354.80675</v>
      </c>
      <c r="H27" s="10">
        <v>74.89</v>
      </c>
      <c r="I27" s="17">
        <v>1581.847262</v>
      </c>
      <c r="J27" s="17">
        <v>0</v>
      </c>
      <c r="K27" s="17">
        <v>1581.847262</v>
      </c>
      <c r="L27" s="18">
        <v>55657.755939000002</v>
      </c>
      <c r="M27" s="17">
        <v>4327.78190441878</v>
      </c>
      <c r="N27" s="17">
        <v>0</v>
      </c>
      <c r="O27" s="10">
        <v>59985.537843418802</v>
      </c>
      <c r="P27" s="18">
        <v>141467.19949999999</v>
      </c>
      <c r="Q27" s="10">
        <v>42.4</v>
      </c>
    </row>
    <row r="28" spans="1:17" ht="23.1" customHeight="1" x14ac:dyDescent="0.25">
      <c r="A28" s="51" t="s">
        <v>39</v>
      </c>
      <c r="B28" s="51">
        <v>2658</v>
      </c>
      <c r="C28" s="50">
        <v>11101.916667</v>
      </c>
      <c r="D28" s="52">
        <v>7211.2808699999996</v>
      </c>
      <c r="E28" s="51">
        <v>354883</v>
      </c>
      <c r="F28" s="50">
        <v>961984.94400000002</v>
      </c>
      <c r="G28" s="50">
        <v>1320793.06</v>
      </c>
      <c r="H28" s="54">
        <v>72.83</v>
      </c>
      <c r="I28" s="55">
        <v>2128.3875600000001</v>
      </c>
      <c r="J28" s="55">
        <v>11.104200000000001</v>
      </c>
      <c r="K28" s="55">
        <v>2139.4917599999999</v>
      </c>
      <c r="L28" s="56">
        <v>67822.809899999993</v>
      </c>
      <c r="M28" s="55">
        <v>5866.9908999999998</v>
      </c>
      <c r="N28" s="55">
        <v>21.415890000000001</v>
      </c>
      <c r="O28" s="54">
        <v>73711.216690000001</v>
      </c>
      <c r="P28" s="56">
        <v>180282.02100000001</v>
      </c>
      <c r="Q28" s="54">
        <v>40.89</v>
      </c>
    </row>
    <row r="29" spans="1:17" ht="23.1" customHeight="1" x14ac:dyDescent="0.25">
      <c r="A29" s="15" t="s">
        <v>40</v>
      </c>
      <c r="B29" s="15">
        <v>3518</v>
      </c>
      <c r="C29" s="6">
        <v>14671.5</v>
      </c>
      <c r="D29" s="16">
        <v>9546.0364800000007</v>
      </c>
      <c r="E29" s="15">
        <v>495175</v>
      </c>
      <c r="F29" s="6">
        <v>1347168.05993</v>
      </c>
      <c r="G29" s="6">
        <v>1758711.7404799999</v>
      </c>
      <c r="H29" s="10">
        <v>76.599999999999994</v>
      </c>
      <c r="I29" s="17">
        <v>2965.966437</v>
      </c>
      <c r="J29" s="17">
        <v>16.407299999999999</v>
      </c>
      <c r="K29" s="17">
        <v>2982.3737369999999</v>
      </c>
      <c r="L29" s="18">
        <v>100641.92537300001</v>
      </c>
      <c r="M29" s="17">
        <v>8122.6994219999997</v>
      </c>
      <c r="N29" s="17">
        <v>19.015998</v>
      </c>
      <c r="O29" s="10">
        <v>108783.640793</v>
      </c>
      <c r="P29" s="18">
        <v>238650.91200000001</v>
      </c>
      <c r="Q29" s="10">
        <v>45.58</v>
      </c>
    </row>
    <row r="30" spans="1:17" ht="23.1" customHeight="1" x14ac:dyDescent="0.25">
      <c r="A30" s="51" t="s">
        <v>25</v>
      </c>
      <c r="B30" s="51">
        <v>3791</v>
      </c>
      <c r="C30" s="50">
        <v>15919</v>
      </c>
      <c r="D30" s="52">
        <v>10396</v>
      </c>
      <c r="E30" s="51">
        <v>539133</v>
      </c>
      <c r="F30" s="50">
        <v>1480685</v>
      </c>
      <c r="G30" s="50">
        <v>1910576</v>
      </c>
      <c r="H30" s="54">
        <v>77.5</v>
      </c>
      <c r="I30" s="55">
        <v>2887</v>
      </c>
      <c r="J30" s="55">
        <v>13</v>
      </c>
      <c r="K30" s="55">
        <v>2900</v>
      </c>
      <c r="L30" s="56">
        <v>110741</v>
      </c>
      <c r="M30" s="55">
        <v>7871</v>
      </c>
      <c r="N30" s="55">
        <v>28</v>
      </c>
      <c r="O30" s="54">
        <v>118640</v>
      </c>
      <c r="P30" s="56">
        <v>259913</v>
      </c>
      <c r="Q30" s="54">
        <v>45.65</v>
      </c>
    </row>
    <row r="31" spans="1:17" ht="23.1" customHeight="1" x14ac:dyDescent="0.25">
      <c r="A31" s="15" t="s">
        <v>26</v>
      </c>
      <c r="B31" s="15"/>
      <c r="C31" s="6"/>
      <c r="D31" s="16"/>
      <c r="E31" s="15"/>
      <c r="F31" s="6"/>
      <c r="G31" s="6"/>
      <c r="H31" s="10"/>
      <c r="I31" s="17"/>
      <c r="J31" s="17"/>
      <c r="K31" s="17"/>
      <c r="L31" s="18"/>
      <c r="M31" s="17"/>
      <c r="N31" s="17"/>
      <c r="O31" s="10"/>
      <c r="P31" s="18"/>
      <c r="Q31" s="10"/>
    </row>
    <row r="32" spans="1:17" ht="23.1" customHeight="1" x14ac:dyDescent="0.25">
      <c r="A32" s="51" t="s">
        <v>27</v>
      </c>
      <c r="B32" s="51"/>
      <c r="C32" s="50"/>
      <c r="D32" s="52"/>
      <c r="E32" s="51"/>
      <c r="F32" s="50"/>
      <c r="G32" s="50"/>
      <c r="H32" s="54"/>
      <c r="I32" s="55"/>
      <c r="J32" s="55"/>
      <c r="K32" s="55"/>
      <c r="L32" s="56"/>
      <c r="M32" s="55"/>
      <c r="N32" s="55"/>
      <c r="O32" s="54"/>
      <c r="P32" s="56"/>
      <c r="Q32" s="54"/>
    </row>
    <row r="33" spans="1:17" ht="23.1" customHeight="1" x14ac:dyDescent="0.25">
      <c r="A33" s="15" t="s">
        <v>28</v>
      </c>
      <c r="B33" s="15"/>
      <c r="C33" s="6"/>
      <c r="D33" s="16"/>
      <c r="E33" s="15"/>
      <c r="F33" s="6"/>
      <c r="G33" s="6"/>
      <c r="H33" s="10"/>
      <c r="I33" s="17"/>
      <c r="J33" s="17"/>
      <c r="K33" s="17"/>
      <c r="L33" s="18"/>
      <c r="M33" s="17"/>
      <c r="N33" s="17"/>
      <c r="O33" s="10"/>
      <c r="P33" s="18"/>
      <c r="Q33" s="10"/>
    </row>
    <row r="34" spans="1:17" ht="23.1" customHeight="1" x14ac:dyDescent="0.25">
      <c r="A34" s="51" t="s">
        <v>29</v>
      </c>
      <c r="B34" s="57"/>
      <c r="C34" s="58"/>
      <c r="D34" s="59"/>
      <c r="E34" s="57"/>
      <c r="F34" s="58"/>
      <c r="G34" s="58"/>
      <c r="H34" s="54"/>
      <c r="I34" s="60"/>
      <c r="J34" s="60"/>
      <c r="K34" s="60"/>
      <c r="L34" s="61"/>
      <c r="M34" s="60"/>
      <c r="N34" s="60"/>
      <c r="O34" s="62"/>
      <c r="P34" s="61"/>
      <c r="Q34" s="62"/>
    </row>
    <row r="35" spans="1:17" ht="23.1" customHeight="1" x14ac:dyDescent="0.25">
      <c r="A35" s="126" t="s">
        <v>30</v>
      </c>
      <c r="B35" s="3">
        <f t="shared" ref="B35:G35" si="2">IFERROR(SUM(B23:B34),"")</f>
        <v>21422</v>
      </c>
      <c r="C35" s="3">
        <f t="shared" si="2"/>
        <v>89070.750000333297</v>
      </c>
      <c r="D35" s="3">
        <f t="shared" si="2"/>
        <v>57861.768957009823</v>
      </c>
      <c r="E35" s="3">
        <f t="shared" si="2"/>
        <v>3124473</v>
      </c>
      <c r="F35" s="3">
        <f t="shared" si="2"/>
        <v>8422001.4109879248</v>
      </c>
      <c r="G35" s="3">
        <f t="shared" si="2"/>
        <v>10605106.110147184</v>
      </c>
      <c r="H35" s="4">
        <f>IFERROR(F35/G35*100,"")</f>
        <v>79.414588817075398</v>
      </c>
      <c r="I35" s="5">
        <f t="shared" ref="I35:P35" si="3">IFERROR(SUM(I23:I34),"")</f>
        <v>15561.877159</v>
      </c>
      <c r="J35" s="5">
        <f t="shared" si="3"/>
        <v>50.899500000000003</v>
      </c>
      <c r="K35" s="5">
        <f t="shared" si="3"/>
        <v>15612.776659000001</v>
      </c>
      <c r="L35" s="5">
        <f t="shared" si="3"/>
        <v>628803.05206778774</v>
      </c>
      <c r="M35" s="5">
        <f t="shared" si="3"/>
        <v>42438.425303385957</v>
      </c>
      <c r="N35" s="5">
        <f t="shared" si="3"/>
        <v>91.698230919341498</v>
      </c>
      <c r="O35" s="5">
        <f t="shared" si="3"/>
        <v>671333.17560209159</v>
      </c>
      <c r="P35" s="5">
        <f t="shared" si="3"/>
        <v>1354696.7103321967</v>
      </c>
      <c r="Q35" s="5">
        <f>IFERROR(O35/P35*100,"")</f>
        <v>49.555975923014408</v>
      </c>
    </row>
    <row r="36" spans="1:17" ht="15.75" x14ac:dyDescent="0.25">
      <c r="A36" s="137" t="s">
        <v>43</v>
      </c>
      <c r="B36" s="138"/>
      <c r="C36" s="138"/>
      <c r="D36" s="138"/>
      <c r="E36" s="138"/>
      <c r="F36" s="138"/>
      <c r="G36" s="138"/>
      <c r="H36" s="138"/>
      <c r="I36" s="138"/>
      <c r="J36" s="138"/>
      <c r="K36" s="138"/>
      <c r="L36" s="138"/>
      <c r="M36" s="138"/>
      <c r="N36" s="138"/>
      <c r="O36" s="138"/>
      <c r="P36" s="138"/>
      <c r="Q36" s="138"/>
    </row>
    <row r="37" spans="1:17" ht="15.75" x14ac:dyDescent="0.25">
      <c r="A37" s="127" t="s">
        <v>31</v>
      </c>
      <c r="B37" s="127"/>
      <c r="C37" s="127"/>
      <c r="D37" s="127"/>
      <c r="E37" s="127"/>
      <c r="F37" s="127"/>
      <c r="G37" s="127"/>
      <c r="H37" s="127"/>
      <c r="I37" s="127"/>
      <c r="J37" s="127"/>
      <c r="K37" s="127"/>
      <c r="L37" s="127"/>
      <c r="M37" s="127"/>
      <c r="N37" s="127"/>
      <c r="O37" s="127"/>
      <c r="P37" s="127"/>
      <c r="Q37" s="127"/>
    </row>
    <row r="38" spans="1:17" ht="15.75" x14ac:dyDescent="0.25">
      <c r="A38" s="127" t="s">
        <v>32</v>
      </c>
      <c r="B38" s="127"/>
      <c r="C38" s="127"/>
      <c r="D38" s="127"/>
      <c r="E38" s="127"/>
      <c r="F38" s="127"/>
      <c r="G38" s="127"/>
      <c r="H38" s="127"/>
      <c r="I38" s="127"/>
      <c r="J38" s="127"/>
      <c r="K38" s="127"/>
      <c r="L38" s="127"/>
      <c r="M38" s="127"/>
      <c r="N38" s="127"/>
      <c r="O38" s="127"/>
      <c r="P38" s="127"/>
      <c r="Q38" s="127"/>
    </row>
    <row r="39" spans="1:17" ht="40.5" customHeight="1" x14ac:dyDescent="0.25">
      <c r="A39" s="147" t="s">
        <v>42</v>
      </c>
      <c r="B39" s="148"/>
      <c r="C39" s="149" t="s">
        <v>34</v>
      </c>
      <c r="D39" s="149"/>
      <c r="E39" s="149"/>
      <c r="F39" s="149"/>
      <c r="G39" s="149"/>
      <c r="H39" s="149"/>
      <c r="I39" s="149"/>
      <c r="J39" s="149"/>
      <c r="K39" s="149"/>
      <c r="L39" s="149"/>
      <c r="M39" s="149"/>
      <c r="N39" s="149"/>
      <c r="O39" s="150" t="s">
        <v>41</v>
      </c>
      <c r="P39" s="150"/>
      <c r="Q39" s="151"/>
    </row>
    <row r="40" spans="1:17" ht="39.75" customHeight="1" x14ac:dyDescent="0.25">
      <c r="A40" s="152" t="s">
        <v>1</v>
      </c>
      <c r="B40" s="152" t="s">
        <v>2</v>
      </c>
      <c r="C40" s="152"/>
      <c r="D40" s="152"/>
      <c r="E40" s="153" t="s">
        <v>3</v>
      </c>
      <c r="F40" s="153" t="s">
        <v>4</v>
      </c>
      <c r="G40" s="153" t="s">
        <v>5</v>
      </c>
      <c r="H40" s="153" t="s">
        <v>37</v>
      </c>
      <c r="I40" s="152" t="s">
        <v>6</v>
      </c>
      <c r="J40" s="152"/>
      <c r="K40" s="152"/>
      <c r="L40" s="152" t="s">
        <v>7</v>
      </c>
      <c r="M40" s="152"/>
      <c r="N40" s="152"/>
      <c r="O40" s="152"/>
      <c r="P40" s="153" t="s">
        <v>8</v>
      </c>
      <c r="Q40" s="153" t="s">
        <v>38</v>
      </c>
    </row>
    <row r="41" spans="1:17" ht="178.5" customHeight="1" x14ac:dyDescent="0.25">
      <c r="A41" s="152"/>
      <c r="B41" s="40" t="s">
        <v>9</v>
      </c>
      <c r="C41" s="40" t="s">
        <v>10</v>
      </c>
      <c r="D41" s="40" t="s">
        <v>11</v>
      </c>
      <c r="E41" s="154"/>
      <c r="F41" s="154"/>
      <c r="G41" s="154"/>
      <c r="H41" s="154"/>
      <c r="I41" s="40" t="s">
        <v>12</v>
      </c>
      <c r="J41" s="40" t="s">
        <v>13</v>
      </c>
      <c r="K41" s="40" t="s">
        <v>14</v>
      </c>
      <c r="L41" s="40" t="s">
        <v>15</v>
      </c>
      <c r="M41" s="40" t="s">
        <v>16</v>
      </c>
      <c r="N41" s="40" t="s">
        <v>17</v>
      </c>
      <c r="O41" s="40" t="s">
        <v>18</v>
      </c>
      <c r="P41" s="154"/>
      <c r="Q41" s="154"/>
    </row>
    <row r="42" spans="1:17" ht="25.5" customHeight="1" x14ac:dyDescent="0.25">
      <c r="A42" s="46" t="s">
        <v>19</v>
      </c>
      <c r="B42" s="103">
        <v>26</v>
      </c>
      <c r="C42" s="104">
        <v>23.8333333333333</v>
      </c>
      <c r="D42" s="105">
        <v>8.2420000000000009</v>
      </c>
      <c r="E42" s="103">
        <v>3567</v>
      </c>
      <c r="F42" s="104">
        <v>1130.739</v>
      </c>
      <c r="G42" s="104">
        <v>1557.7380000000001</v>
      </c>
      <c r="H42" s="106">
        <v>72.59</v>
      </c>
      <c r="I42" s="107">
        <v>0</v>
      </c>
      <c r="J42" s="108">
        <v>0</v>
      </c>
      <c r="K42" s="106">
        <v>0</v>
      </c>
      <c r="L42" s="107">
        <v>84.805425</v>
      </c>
      <c r="M42" s="108">
        <v>0</v>
      </c>
      <c r="N42" s="108">
        <v>0</v>
      </c>
      <c r="O42" s="106">
        <v>84.805425</v>
      </c>
      <c r="P42" s="107">
        <v>164.84</v>
      </c>
      <c r="Q42" s="106">
        <v>51.45</v>
      </c>
    </row>
    <row r="43" spans="1:17" ht="25.5" customHeight="1" x14ac:dyDescent="0.25">
      <c r="A43" s="47" t="s">
        <v>20</v>
      </c>
      <c r="B43" s="63">
        <v>28</v>
      </c>
      <c r="C43" s="65">
        <v>27.75</v>
      </c>
      <c r="D43" s="66">
        <v>4.76</v>
      </c>
      <c r="E43" s="63">
        <v>3949</v>
      </c>
      <c r="F43" s="65">
        <v>1327.3979999999999</v>
      </c>
      <c r="G43" s="65">
        <v>1793.232</v>
      </c>
      <c r="H43" s="67">
        <v>74.02</v>
      </c>
      <c r="I43" s="68">
        <v>0</v>
      </c>
      <c r="J43" s="69">
        <v>0</v>
      </c>
      <c r="K43" s="67">
        <v>0</v>
      </c>
      <c r="L43" s="68">
        <v>99.554850000000002</v>
      </c>
      <c r="M43" s="69">
        <v>0</v>
      </c>
      <c r="N43" s="69">
        <v>0</v>
      </c>
      <c r="O43" s="67">
        <v>99.554850000000002</v>
      </c>
      <c r="P43" s="68">
        <v>189.76</v>
      </c>
      <c r="Q43" s="67">
        <v>52.46</v>
      </c>
    </row>
    <row r="44" spans="1:17" ht="25.5" customHeight="1" x14ac:dyDescent="0.25">
      <c r="A44" s="46" t="s">
        <v>21</v>
      </c>
      <c r="B44" s="109">
        <v>35</v>
      </c>
      <c r="C44" s="110">
        <v>38.9166666666667</v>
      </c>
      <c r="D44" s="111">
        <v>5.5730000000000004</v>
      </c>
      <c r="E44" s="109">
        <v>4127</v>
      </c>
      <c r="F44" s="110">
        <v>1371.6510000000001</v>
      </c>
      <c r="G44" s="110">
        <v>3617.3440000000001</v>
      </c>
      <c r="H44" s="112">
        <v>37.92</v>
      </c>
      <c r="I44" s="113">
        <v>0</v>
      </c>
      <c r="J44" s="114">
        <v>0</v>
      </c>
      <c r="K44" s="112">
        <v>0</v>
      </c>
      <c r="L44" s="113">
        <v>102.873825</v>
      </c>
      <c r="M44" s="114">
        <v>0</v>
      </c>
      <c r="N44" s="114">
        <v>0</v>
      </c>
      <c r="O44" s="112">
        <v>102.873825</v>
      </c>
      <c r="P44" s="113">
        <v>311.83999999999997</v>
      </c>
      <c r="Q44" s="112">
        <v>32.99</v>
      </c>
    </row>
    <row r="45" spans="1:17" ht="25.5" customHeight="1" x14ac:dyDescent="0.25">
      <c r="A45" s="47" t="s">
        <v>22</v>
      </c>
      <c r="B45" s="63">
        <v>41</v>
      </c>
      <c r="C45" s="70">
        <v>50.5833333333333</v>
      </c>
      <c r="D45" s="66">
        <v>23.983000000000001</v>
      </c>
      <c r="E45" s="63">
        <v>4041</v>
      </c>
      <c r="F45" s="65">
        <v>2185.0940000000001</v>
      </c>
      <c r="G45" s="65">
        <v>4518.174</v>
      </c>
      <c r="H45" s="67">
        <v>48.36</v>
      </c>
      <c r="I45" s="68">
        <v>0</v>
      </c>
      <c r="J45" s="69">
        <v>0</v>
      </c>
      <c r="K45" s="67">
        <v>0</v>
      </c>
      <c r="L45" s="68">
        <v>163.88204999999999</v>
      </c>
      <c r="M45" s="69">
        <v>0</v>
      </c>
      <c r="N45" s="69">
        <v>0</v>
      </c>
      <c r="O45" s="67">
        <v>163.88204999999999</v>
      </c>
      <c r="P45" s="68">
        <v>479.66</v>
      </c>
      <c r="Q45" s="67">
        <v>34.17</v>
      </c>
    </row>
    <row r="46" spans="1:17" ht="25.5" customHeight="1" x14ac:dyDescent="0.25">
      <c r="A46" s="46" t="s">
        <v>23</v>
      </c>
      <c r="B46" s="109">
        <v>34</v>
      </c>
      <c r="C46" s="115">
        <v>35.75</v>
      </c>
      <c r="D46" s="111">
        <v>14.353</v>
      </c>
      <c r="E46" s="109">
        <v>3972</v>
      </c>
      <c r="F46" s="110">
        <v>1540.8440000000001</v>
      </c>
      <c r="G46" s="110">
        <v>2712.7170000000001</v>
      </c>
      <c r="H46" s="112">
        <v>56.8</v>
      </c>
      <c r="I46" s="113">
        <v>0</v>
      </c>
      <c r="J46" s="114">
        <v>0</v>
      </c>
      <c r="K46" s="112">
        <v>0</v>
      </c>
      <c r="L46" s="113">
        <v>115.5633</v>
      </c>
      <c r="M46" s="114">
        <v>0</v>
      </c>
      <c r="N46" s="114">
        <v>0</v>
      </c>
      <c r="O46" s="112">
        <v>115.5633</v>
      </c>
      <c r="P46" s="113">
        <v>287.06</v>
      </c>
      <c r="Q46" s="112">
        <v>40.26</v>
      </c>
    </row>
    <row r="47" spans="1:17" ht="25.5" customHeight="1" x14ac:dyDescent="0.25">
      <c r="A47" s="47" t="s">
        <v>39</v>
      </c>
      <c r="B47" s="71">
        <v>42</v>
      </c>
      <c r="C47" s="72">
        <v>45.7</v>
      </c>
      <c r="D47" s="66">
        <v>18.498000000000001</v>
      </c>
      <c r="E47" s="71">
        <v>6563</v>
      </c>
      <c r="F47" s="72">
        <v>2976.3310000000001</v>
      </c>
      <c r="G47" s="72">
        <v>3496.1219999999998</v>
      </c>
      <c r="H47" s="67">
        <v>85.13</v>
      </c>
      <c r="I47" s="73">
        <v>0</v>
      </c>
      <c r="J47" s="74">
        <v>0</v>
      </c>
      <c r="K47" s="67">
        <v>0</v>
      </c>
      <c r="L47" s="73">
        <v>223.22481999999999</v>
      </c>
      <c r="M47" s="74">
        <v>0</v>
      </c>
      <c r="N47" s="74">
        <v>0</v>
      </c>
      <c r="O47" s="67">
        <v>223.22481999999999</v>
      </c>
      <c r="P47" s="73">
        <v>369.96</v>
      </c>
      <c r="Q47" s="67">
        <v>60.34</v>
      </c>
    </row>
    <row r="48" spans="1:17" ht="25.5" customHeight="1" x14ac:dyDescent="0.25">
      <c r="A48" s="46" t="s">
        <v>40</v>
      </c>
      <c r="B48" s="116">
        <v>60</v>
      </c>
      <c r="C48" s="117">
        <v>70.3</v>
      </c>
      <c r="D48" s="118">
        <v>30.036000000000001</v>
      </c>
      <c r="E48" s="116">
        <v>9647</v>
      </c>
      <c r="F48" s="117">
        <v>4936.9750000000004</v>
      </c>
      <c r="G48" s="117">
        <v>5676.8040000000001</v>
      </c>
      <c r="H48" s="112">
        <v>86.97</v>
      </c>
      <c r="I48" s="119">
        <v>0</v>
      </c>
      <c r="J48" s="120">
        <v>0</v>
      </c>
      <c r="K48" s="112">
        <v>0</v>
      </c>
      <c r="L48" s="119">
        <v>370.27312499999999</v>
      </c>
      <c r="M48" s="120">
        <v>0</v>
      </c>
      <c r="N48" s="120">
        <v>0</v>
      </c>
      <c r="O48" s="112">
        <v>370.27312499999999</v>
      </c>
      <c r="P48" s="119">
        <v>600.72</v>
      </c>
      <c r="Q48" s="112">
        <v>61.64</v>
      </c>
    </row>
    <row r="49" spans="1:17" ht="25.5" customHeight="1" x14ac:dyDescent="0.25">
      <c r="A49" s="47" t="s">
        <v>25</v>
      </c>
      <c r="B49" s="71">
        <v>60</v>
      </c>
      <c r="C49" s="72">
        <v>70.3</v>
      </c>
      <c r="D49" s="76">
        <v>30.036000000000001</v>
      </c>
      <c r="E49" s="71">
        <v>8372</v>
      </c>
      <c r="F49" s="72">
        <v>4302.4359999999997</v>
      </c>
      <c r="G49" s="72">
        <v>5676.8040000000001</v>
      </c>
      <c r="H49" s="67">
        <v>75.790000000000006</v>
      </c>
      <c r="I49" s="73">
        <v>0</v>
      </c>
      <c r="J49" s="74">
        <v>0</v>
      </c>
      <c r="K49" s="67">
        <v>0</v>
      </c>
      <c r="L49" s="73">
        <v>322.68270000000001</v>
      </c>
      <c r="M49" s="74">
        <v>0</v>
      </c>
      <c r="N49" s="74">
        <v>0</v>
      </c>
      <c r="O49" s="67">
        <v>322.68270000000001</v>
      </c>
      <c r="P49" s="73">
        <v>600.72</v>
      </c>
      <c r="Q49" s="67">
        <v>53.72</v>
      </c>
    </row>
    <row r="50" spans="1:17" ht="25.5" customHeight="1" x14ac:dyDescent="0.25">
      <c r="A50" s="46" t="s">
        <v>26</v>
      </c>
      <c r="B50" s="116"/>
      <c r="C50" s="117"/>
      <c r="D50" s="118"/>
      <c r="E50" s="116"/>
      <c r="F50" s="117"/>
      <c r="G50" s="117"/>
      <c r="H50" s="112"/>
      <c r="I50" s="119"/>
      <c r="J50" s="120"/>
      <c r="K50" s="112"/>
      <c r="L50" s="119"/>
      <c r="M50" s="120"/>
      <c r="N50" s="120"/>
      <c r="O50" s="112"/>
      <c r="P50" s="119"/>
      <c r="Q50" s="112"/>
    </row>
    <row r="51" spans="1:17" ht="25.5" customHeight="1" x14ac:dyDescent="0.25">
      <c r="A51" s="47" t="s">
        <v>27</v>
      </c>
      <c r="B51" s="71"/>
      <c r="C51" s="72"/>
      <c r="D51" s="76"/>
      <c r="E51" s="71"/>
      <c r="F51" s="72"/>
      <c r="G51" s="72"/>
      <c r="H51" s="67"/>
      <c r="I51" s="73"/>
      <c r="J51" s="74"/>
      <c r="K51" s="67"/>
      <c r="L51" s="73"/>
      <c r="M51" s="74"/>
      <c r="N51" s="74"/>
      <c r="O51" s="67"/>
      <c r="P51" s="73"/>
      <c r="Q51" s="67"/>
    </row>
    <row r="52" spans="1:17" ht="25.5" customHeight="1" x14ac:dyDescent="0.25">
      <c r="A52" s="46" t="s">
        <v>28</v>
      </c>
      <c r="B52" s="116"/>
      <c r="C52" s="117"/>
      <c r="D52" s="118"/>
      <c r="E52" s="116"/>
      <c r="F52" s="117"/>
      <c r="G52" s="117"/>
      <c r="H52" s="112"/>
      <c r="I52" s="119"/>
      <c r="J52" s="120"/>
      <c r="K52" s="112"/>
      <c r="L52" s="119"/>
      <c r="M52" s="120"/>
      <c r="N52" s="120"/>
      <c r="O52" s="112"/>
      <c r="P52" s="119"/>
      <c r="Q52" s="112"/>
    </row>
    <row r="53" spans="1:17" ht="25.5" customHeight="1" x14ac:dyDescent="0.25">
      <c r="A53" s="47" t="s">
        <v>29</v>
      </c>
      <c r="B53" s="77"/>
      <c r="C53" s="78"/>
      <c r="D53" s="79"/>
      <c r="E53" s="77"/>
      <c r="F53" s="78"/>
      <c r="G53" s="78"/>
      <c r="H53" s="80"/>
      <c r="I53" s="81"/>
      <c r="J53" s="82"/>
      <c r="K53" s="80"/>
      <c r="L53" s="81"/>
      <c r="M53" s="82"/>
      <c r="N53" s="82"/>
      <c r="O53" s="80"/>
      <c r="P53" s="81"/>
      <c r="Q53" s="80"/>
    </row>
    <row r="54" spans="1:17" ht="25.5" customHeight="1" x14ac:dyDescent="0.25">
      <c r="A54" s="122" t="s">
        <v>30</v>
      </c>
      <c r="B54" s="123">
        <f t="shared" ref="B54:G54" si="4">IFERROR(SUM(B42:B53),"")</f>
        <v>326</v>
      </c>
      <c r="C54" s="123">
        <f t="shared" si="4"/>
        <v>363.13333333333333</v>
      </c>
      <c r="D54" s="123">
        <f t="shared" si="4"/>
        <v>135.48099999999999</v>
      </c>
      <c r="E54" s="123">
        <f t="shared" si="4"/>
        <v>44238</v>
      </c>
      <c r="F54" s="123">
        <f t="shared" si="4"/>
        <v>19771.468000000001</v>
      </c>
      <c r="G54" s="123">
        <f t="shared" si="4"/>
        <v>29048.935000000001</v>
      </c>
      <c r="H54" s="124">
        <f>IFERROR(F54/G54*100,"")</f>
        <v>68.062626048080588</v>
      </c>
      <c r="I54" s="124">
        <f t="shared" ref="I54:P54" si="5">IFERROR(SUM(I42:I53),"")</f>
        <v>0</v>
      </c>
      <c r="J54" s="124">
        <f t="shared" si="5"/>
        <v>0</v>
      </c>
      <c r="K54" s="124">
        <f t="shared" si="5"/>
        <v>0</v>
      </c>
      <c r="L54" s="124">
        <f t="shared" si="5"/>
        <v>1482.860095</v>
      </c>
      <c r="M54" s="124">
        <f t="shared" si="5"/>
        <v>0</v>
      </c>
      <c r="N54" s="124">
        <f t="shared" si="5"/>
        <v>0</v>
      </c>
      <c r="O54" s="124">
        <f t="shared" si="5"/>
        <v>1482.860095</v>
      </c>
      <c r="P54" s="125">
        <f t="shared" si="5"/>
        <v>3004.5600000000004</v>
      </c>
      <c r="Q54" s="124">
        <f>IFERROR(O54/P54*100,"")</f>
        <v>49.353652281864889</v>
      </c>
    </row>
    <row r="55" spans="1:17" ht="22.5" customHeight="1" x14ac:dyDescent="0.25">
      <c r="A55" s="137" t="s">
        <v>43</v>
      </c>
      <c r="B55" s="138"/>
      <c r="C55" s="138"/>
      <c r="D55" s="138"/>
      <c r="E55" s="138"/>
      <c r="F55" s="138"/>
      <c r="G55" s="138"/>
      <c r="H55" s="138"/>
      <c r="I55" s="138"/>
      <c r="J55" s="138"/>
      <c r="K55" s="138"/>
      <c r="L55" s="138"/>
      <c r="M55" s="138"/>
      <c r="N55" s="138"/>
      <c r="O55" s="138"/>
      <c r="P55" s="138"/>
      <c r="Q55" s="138"/>
    </row>
    <row r="56" spans="1:17" ht="22.5" customHeight="1" x14ac:dyDescent="0.25">
      <c r="A56" s="127" t="s">
        <v>31</v>
      </c>
      <c r="B56" s="127"/>
      <c r="C56" s="127"/>
      <c r="D56" s="127"/>
      <c r="E56" s="127"/>
      <c r="F56" s="127"/>
      <c r="G56" s="127"/>
      <c r="H56" s="127"/>
      <c r="I56" s="127"/>
      <c r="J56" s="127"/>
      <c r="K56" s="127"/>
      <c r="L56" s="127"/>
      <c r="M56" s="127"/>
      <c r="N56" s="127"/>
      <c r="O56" s="127"/>
      <c r="P56" s="127"/>
      <c r="Q56" s="127"/>
    </row>
    <row r="57" spans="1:17" ht="22.5" customHeight="1" x14ac:dyDescent="0.25">
      <c r="A57" s="127" t="s">
        <v>32</v>
      </c>
      <c r="B57" s="127"/>
      <c r="C57" s="127"/>
      <c r="D57" s="127"/>
      <c r="E57" s="127"/>
      <c r="F57" s="127"/>
      <c r="G57" s="127"/>
      <c r="H57" s="127"/>
      <c r="I57" s="127"/>
      <c r="J57" s="127"/>
      <c r="K57" s="127"/>
      <c r="L57" s="127"/>
      <c r="M57" s="127"/>
      <c r="N57" s="127"/>
      <c r="O57" s="127"/>
      <c r="P57" s="127"/>
      <c r="Q57" s="127"/>
    </row>
    <row r="58" spans="1:17" ht="47.25" customHeight="1" x14ac:dyDescent="0.25">
      <c r="A58" s="155" t="s">
        <v>42</v>
      </c>
      <c r="B58" s="156"/>
      <c r="C58" s="157" t="s">
        <v>35</v>
      </c>
      <c r="D58" s="157"/>
      <c r="E58" s="157"/>
      <c r="F58" s="157"/>
      <c r="G58" s="157"/>
      <c r="H58" s="157"/>
      <c r="I58" s="157"/>
      <c r="J58" s="157"/>
      <c r="K58" s="157"/>
      <c r="L58" s="157"/>
      <c r="M58" s="157"/>
      <c r="N58" s="157"/>
      <c r="O58" s="158" t="s">
        <v>41</v>
      </c>
      <c r="P58" s="158"/>
      <c r="Q58" s="159"/>
    </row>
    <row r="59" spans="1:17" ht="33.75" customHeight="1" x14ac:dyDescent="0.25">
      <c r="A59" s="160" t="s">
        <v>1</v>
      </c>
      <c r="B59" s="160" t="s">
        <v>2</v>
      </c>
      <c r="C59" s="160"/>
      <c r="D59" s="160"/>
      <c r="E59" s="161" t="s">
        <v>3</v>
      </c>
      <c r="F59" s="161" t="s">
        <v>4</v>
      </c>
      <c r="G59" s="161" t="s">
        <v>5</v>
      </c>
      <c r="H59" s="161" t="s">
        <v>37</v>
      </c>
      <c r="I59" s="160" t="s">
        <v>6</v>
      </c>
      <c r="J59" s="160"/>
      <c r="K59" s="160"/>
      <c r="L59" s="160" t="s">
        <v>7</v>
      </c>
      <c r="M59" s="160"/>
      <c r="N59" s="160"/>
      <c r="O59" s="160"/>
      <c r="P59" s="161" t="s">
        <v>8</v>
      </c>
      <c r="Q59" s="161" t="s">
        <v>38</v>
      </c>
    </row>
    <row r="60" spans="1:17" ht="164.25" customHeight="1" x14ac:dyDescent="0.25">
      <c r="A60" s="160"/>
      <c r="B60" s="39" t="s">
        <v>9</v>
      </c>
      <c r="C60" s="39" t="s">
        <v>10</v>
      </c>
      <c r="D60" s="39" t="s">
        <v>11</v>
      </c>
      <c r="E60" s="162"/>
      <c r="F60" s="162"/>
      <c r="G60" s="162"/>
      <c r="H60" s="162"/>
      <c r="I60" s="39" t="s">
        <v>12</v>
      </c>
      <c r="J60" s="39" t="s">
        <v>13</v>
      </c>
      <c r="K60" s="39" t="s">
        <v>14</v>
      </c>
      <c r="L60" s="39" t="s">
        <v>15</v>
      </c>
      <c r="M60" s="39" t="s">
        <v>16</v>
      </c>
      <c r="N60" s="39" t="s">
        <v>17</v>
      </c>
      <c r="O60" s="39" t="s">
        <v>18</v>
      </c>
      <c r="P60" s="162"/>
      <c r="Q60" s="162"/>
    </row>
    <row r="61" spans="1:17" ht="24.75" customHeight="1" x14ac:dyDescent="0.25">
      <c r="A61" s="48" t="s">
        <v>19</v>
      </c>
      <c r="B61" s="89">
        <v>6</v>
      </c>
      <c r="C61" s="90">
        <v>20.25</v>
      </c>
      <c r="D61" s="91">
        <v>20.802</v>
      </c>
      <c r="E61" s="89">
        <v>406</v>
      </c>
      <c r="F61" s="90">
        <v>1407.6020000000001</v>
      </c>
      <c r="G61" s="90">
        <v>3827.5680000000002</v>
      </c>
      <c r="H61" s="92">
        <v>36.78</v>
      </c>
      <c r="I61" s="94">
        <v>0</v>
      </c>
      <c r="J61" s="95">
        <v>0</v>
      </c>
      <c r="K61" s="95">
        <v>0</v>
      </c>
      <c r="L61" s="94">
        <v>105.57015</v>
      </c>
      <c r="M61" s="95">
        <v>0</v>
      </c>
      <c r="N61" s="95">
        <v>0</v>
      </c>
      <c r="O61" s="92">
        <v>105.57015</v>
      </c>
      <c r="P61" s="95">
        <v>416.04</v>
      </c>
      <c r="Q61" s="92">
        <v>25.37</v>
      </c>
    </row>
    <row r="62" spans="1:17" ht="24.75" customHeight="1" x14ac:dyDescent="0.25">
      <c r="A62" s="47" t="s">
        <v>20</v>
      </c>
      <c r="B62" s="71"/>
      <c r="C62" s="72"/>
      <c r="D62" s="76"/>
      <c r="E62" s="71"/>
      <c r="F62" s="72"/>
      <c r="G62" s="72"/>
      <c r="H62" s="67"/>
      <c r="I62" s="73"/>
      <c r="J62" s="74"/>
      <c r="K62" s="74"/>
      <c r="L62" s="73"/>
      <c r="M62" s="74"/>
      <c r="N62" s="74"/>
      <c r="O62" s="67"/>
      <c r="P62" s="74"/>
      <c r="Q62" s="67"/>
    </row>
    <row r="63" spans="1:17" ht="24.75" customHeight="1" x14ac:dyDescent="0.25">
      <c r="A63" s="48" t="s">
        <v>21</v>
      </c>
      <c r="B63" s="96"/>
      <c r="C63" s="97"/>
      <c r="D63" s="98"/>
      <c r="E63" s="96"/>
      <c r="F63" s="97"/>
      <c r="G63" s="97"/>
      <c r="H63" s="99"/>
      <c r="I63" s="100"/>
      <c r="J63" s="101"/>
      <c r="K63" s="101"/>
      <c r="L63" s="100"/>
      <c r="M63" s="101"/>
      <c r="N63" s="101"/>
      <c r="O63" s="99"/>
      <c r="P63" s="101"/>
      <c r="Q63" s="99"/>
    </row>
    <row r="64" spans="1:17" ht="24.75" customHeight="1" x14ac:dyDescent="0.25">
      <c r="A64" s="47" t="s">
        <v>22</v>
      </c>
      <c r="B64" s="71">
        <v>22</v>
      </c>
      <c r="C64" s="72">
        <v>45.8333333333333</v>
      </c>
      <c r="D64" s="76">
        <v>76.406000000000006</v>
      </c>
      <c r="E64" s="71">
        <v>3639</v>
      </c>
      <c r="F64" s="72">
        <v>12638.246999999999</v>
      </c>
      <c r="G64" s="72">
        <v>14440.734</v>
      </c>
      <c r="H64" s="67">
        <v>87.52</v>
      </c>
      <c r="I64" s="73">
        <v>0</v>
      </c>
      <c r="J64" s="74">
        <v>0</v>
      </c>
      <c r="K64" s="74">
        <v>0</v>
      </c>
      <c r="L64" s="73">
        <v>947.86852499999998</v>
      </c>
      <c r="M64" s="74">
        <v>0</v>
      </c>
      <c r="N64" s="74">
        <v>0</v>
      </c>
      <c r="O64" s="67">
        <v>947.86852499999998</v>
      </c>
      <c r="P64" s="74">
        <v>1528.12</v>
      </c>
      <c r="Q64" s="67">
        <v>62.03</v>
      </c>
    </row>
    <row r="65" spans="1:17" ht="24.75" customHeight="1" x14ac:dyDescent="0.25">
      <c r="A65" s="48" t="s">
        <v>23</v>
      </c>
      <c r="B65" s="96">
        <v>34</v>
      </c>
      <c r="C65" s="97">
        <v>90.3333333333333</v>
      </c>
      <c r="D65" s="98">
        <v>119.51</v>
      </c>
      <c r="E65" s="96">
        <v>5688</v>
      </c>
      <c r="F65" s="97">
        <v>19994.225999999999</v>
      </c>
      <c r="G65" s="97">
        <v>22587.39</v>
      </c>
      <c r="H65" s="99">
        <v>88.52</v>
      </c>
      <c r="I65" s="100">
        <v>0</v>
      </c>
      <c r="J65" s="101">
        <v>0</v>
      </c>
      <c r="K65" s="101">
        <v>0</v>
      </c>
      <c r="L65" s="100">
        <v>1499.5669499999999</v>
      </c>
      <c r="M65" s="101">
        <v>0</v>
      </c>
      <c r="N65" s="101">
        <v>0</v>
      </c>
      <c r="O65" s="99">
        <v>1499.5669499999999</v>
      </c>
      <c r="P65" s="101">
        <v>2390.1999999999998</v>
      </c>
      <c r="Q65" s="99">
        <v>62.74</v>
      </c>
    </row>
    <row r="66" spans="1:17" ht="24.75" customHeight="1" x14ac:dyDescent="0.25">
      <c r="A66" s="47" t="s">
        <v>39</v>
      </c>
      <c r="B66" s="71">
        <v>84</v>
      </c>
      <c r="C66" s="72">
        <v>287</v>
      </c>
      <c r="D66" s="76">
        <v>42.695099999999996</v>
      </c>
      <c r="E66" s="71">
        <v>13888</v>
      </c>
      <c r="F66" s="72">
        <v>32430.7032</v>
      </c>
      <c r="G66" s="72">
        <v>37136.628900000003</v>
      </c>
      <c r="H66" s="67">
        <v>87.33</v>
      </c>
      <c r="I66" s="73">
        <v>0</v>
      </c>
      <c r="J66" s="74">
        <v>0</v>
      </c>
      <c r="K66" s="74">
        <v>0</v>
      </c>
      <c r="L66" s="73">
        <v>2432.3027400000001</v>
      </c>
      <c r="M66" s="74">
        <v>0</v>
      </c>
      <c r="N66" s="74">
        <v>0</v>
      </c>
      <c r="O66" s="67">
        <v>2432.3027400000001</v>
      </c>
      <c r="P66" s="74">
        <v>3929.8020000000001</v>
      </c>
      <c r="Q66" s="67">
        <v>61.89</v>
      </c>
    </row>
    <row r="67" spans="1:17" ht="24.75" customHeight="1" x14ac:dyDescent="0.25">
      <c r="A67" s="48" t="s">
        <v>40</v>
      </c>
      <c r="B67" s="96"/>
      <c r="C67" s="97"/>
      <c r="D67" s="98"/>
      <c r="E67" s="96"/>
      <c r="F67" s="97"/>
      <c r="G67" s="97"/>
      <c r="H67" s="99"/>
      <c r="I67" s="100"/>
      <c r="J67" s="101"/>
      <c r="K67" s="101"/>
      <c r="L67" s="100"/>
      <c r="M67" s="101"/>
      <c r="N67" s="101"/>
      <c r="O67" s="99"/>
      <c r="P67" s="101"/>
      <c r="Q67" s="99"/>
    </row>
    <row r="68" spans="1:17" ht="24.75" customHeight="1" x14ac:dyDescent="0.25">
      <c r="A68" s="47" t="s">
        <v>25</v>
      </c>
      <c r="B68" s="71"/>
      <c r="C68" s="72"/>
      <c r="D68" s="76"/>
      <c r="E68" s="71"/>
      <c r="F68" s="72"/>
      <c r="G68" s="72"/>
      <c r="H68" s="67"/>
      <c r="I68" s="73"/>
      <c r="J68" s="74"/>
      <c r="K68" s="74"/>
      <c r="L68" s="73"/>
      <c r="M68" s="74"/>
      <c r="N68" s="74"/>
      <c r="O68" s="67"/>
      <c r="P68" s="74"/>
      <c r="Q68" s="67"/>
    </row>
    <row r="69" spans="1:17" ht="24.75" customHeight="1" x14ac:dyDescent="0.25">
      <c r="A69" s="48" t="s">
        <v>26</v>
      </c>
      <c r="B69" s="96"/>
      <c r="C69" s="97"/>
      <c r="D69" s="98"/>
      <c r="E69" s="96"/>
      <c r="F69" s="97"/>
      <c r="G69" s="97"/>
      <c r="H69" s="99"/>
      <c r="I69" s="100"/>
      <c r="J69" s="101"/>
      <c r="K69" s="101"/>
      <c r="L69" s="100"/>
      <c r="M69" s="101"/>
      <c r="N69" s="101"/>
      <c r="O69" s="99"/>
      <c r="P69" s="101"/>
      <c r="Q69" s="99"/>
    </row>
    <row r="70" spans="1:17" ht="24.75" customHeight="1" x14ac:dyDescent="0.25">
      <c r="A70" s="47" t="s">
        <v>27</v>
      </c>
      <c r="B70" s="71"/>
      <c r="C70" s="72"/>
      <c r="D70" s="76"/>
      <c r="E70" s="71"/>
      <c r="F70" s="72"/>
      <c r="G70" s="72"/>
      <c r="H70" s="67"/>
      <c r="I70" s="73"/>
      <c r="J70" s="74"/>
      <c r="K70" s="74"/>
      <c r="L70" s="73"/>
      <c r="M70" s="74"/>
      <c r="N70" s="74"/>
      <c r="O70" s="67"/>
      <c r="P70" s="74"/>
      <c r="Q70" s="67"/>
    </row>
    <row r="71" spans="1:17" ht="24.75" customHeight="1" x14ac:dyDescent="0.25">
      <c r="A71" s="48" t="s">
        <v>28</v>
      </c>
      <c r="B71" s="96"/>
      <c r="C71" s="97"/>
      <c r="D71" s="98"/>
      <c r="E71" s="96"/>
      <c r="F71" s="97"/>
      <c r="G71" s="97"/>
      <c r="H71" s="99"/>
      <c r="I71" s="100"/>
      <c r="J71" s="101"/>
      <c r="K71" s="101"/>
      <c r="L71" s="100"/>
      <c r="M71" s="101"/>
      <c r="N71" s="101"/>
      <c r="O71" s="99"/>
      <c r="P71" s="101"/>
      <c r="Q71" s="99"/>
    </row>
    <row r="72" spans="1:17" ht="24.75" customHeight="1" x14ac:dyDescent="0.25">
      <c r="A72" s="47" t="s">
        <v>29</v>
      </c>
      <c r="B72" s="77"/>
      <c r="C72" s="78"/>
      <c r="D72" s="79"/>
      <c r="E72" s="77"/>
      <c r="F72" s="78"/>
      <c r="G72" s="78"/>
      <c r="H72" s="80"/>
      <c r="I72" s="81"/>
      <c r="J72" s="82"/>
      <c r="K72" s="82"/>
      <c r="L72" s="81"/>
      <c r="M72" s="82"/>
      <c r="N72" s="82"/>
      <c r="O72" s="80"/>
      <c r="P72" s="82"/>
      <c r="Q72" s="80"/>
    </row>
    <row r="73" spans="1:17" ht="34.5" customHeight="1" x14ac:dyDescent="0.25">
      <c r="A73" s="86" t="s">
        <v>30</v>
      </c>
      <c r="B73" s="87">
        <f t="shared" ref="B73:G73" si="6">IFERROR(SUM(B61:B72),"")</f>
        <v>146</v>
      </c>
      <c r="C73" s="87">
        <f t="shared" si="6"/>
        <v>443.41666666666663</v>
      </c>
      <c r="D73" s="87">
        <f t="shared" si="6"/>
        <v>259.41309999999999</v>
      </c>
      <c r="E73" s="87">
        <f t="shared" si="6"/>
        <v>23621</v>
      </c>
      <c r="F73" s="87">
        <f t="shared" si="6"/>
        <v>66470.778200000001</v>
      </c>
      <c r="G73" s="87">
        <f t="shared" si="6"/>
        <v>77992.320899999992</v>
      </c>
      <c r="H73" s="88">
        <f>IFERROR(F73/G73*100,"")</f>
        <v>85.227337041588171</v>
      </c>
      <c r="I73" s="88">
        <f t="shared" ref="I73:P73" si="7">IFERROR(SUM(I61:I72),"")</f>
        <v>0</v>
      </c>
      <c r="J73" s="88">
        <f t="shared" si="7"/>
        <v>0</v>
      </c>
      <c r="K73" s="88">
        <f t="shared" si="7"/>
        <v>0</v>
      </c>
      <c r="L73" s="88">
        <f t="shared" si="7"/>
        <v>4985.3083649999999</v>
      </c>
      <c r="M73" s="88">
        <f t="shared" si="7"/>
        <v>0</v>
      </c>
      <c r="N73" s="88">
        <f t="shared" si="7"/>
        <v>0</v>
      </c>
      <c r="O73" s="88">
        <f t="shared" si="7"/>
        <v>4985.3083649999999</v>
      </c>
      <c r="P73" s="88">
        <f t="shared" si="7"/>
        <v>8264.1620000000003</v>
      </c>
      <c r="Q73" s="88">
        <f>IFERROR(O73/P73*100,"")</f>
        <v>60.324426904990482</v>
      </c>
    </row>
    <row r="74" spans="1:17" ht="15.75" x14ac:dyDescent="0.25">
      <c r="A74" s="137" t="s">
        <v>43</v>
      </c>
      <c r="B74" s="138"/>
      <c r="C74" s="138"/>
      <c r="D74" s="138"/>
      <c r="E74" s="138"/>
      <c r="F74" s="138"/>
      <c r="G74" s="138"/>
      <c r="H74" s="138"/>
      <c r="I74" s="138"/>
      <c r="J74" s="138"/>
      <c r="K74" s="138"/>
      <c r="L74" s="138"/>
      <c r="M74" s="138"/>
      <c r="N74" s="138"/>
      <c r="O74" s="138"/>
      <c r="P74" s="138"/>
      <c r="Q74" s="138"/>
    </row>
    <row r="75" spans="1:17" ht="15.75" x14ac:dyDescent="0.25">
      <c r="A75" s="127" t="s">
        <v>31</v>
      </c>
      <c r="B75" s="127"/>
      <c r="C75" s="127"/>
      <c r="D75" s="127"/>
      <c r="E75" s="127"/>
      <c r="F75" s="127"/>
      <c r="G75" s="127"/>
      <c r="H75" s="127"/>
      <c r="I75" s="127"/>
      <c r="J75" s="127"/>
      <c r="K75" s="127"/>
      <c r="L75" s="127"/>
      <c r="M75" s="127"/>
      <c r="N75" s="127"/>
      <c r="O75" s="127"/>
      <c r="P75" s="127"/>
      <c r="Q75" s="127"/>
    </row>
    <row r="76" spans="1:17" ht="15.75" x14ac:dyDescent="0.25">
      <c r="A76" s="127" t="s">
        <v>32</v>
      </c>
      <c r="B76" s="127"/>
      <c r="C76" s="127"/>
      <c r="D76" s="127"/>
      <c r="E76" s="127"/>
      <c r="F76" s="127"/>
      <c r="G76" s="127"/>
      <c r="H76" s="127"/>
      <c r="I76" s="127"/>
      <c r="J76" s="127"/>
      <c r="K76" s="127"/>
      <c r="L76" s="127"/>
      <c r="M76" s="127"/>
      <c r="N76" s="127"/>
      <c r="O76" s="127"/>
      <c r="P76" s="127"/>
      <c r="Q76" s="127"/>
    </row>
    <row r="79" spans="1:17" ht="18.75" x14ac:dyDescent="0.3">
      <c r="H79" s="83"/>
      <c r="Q79" s="83"/>
    </row>
    <row r="81" spans="8:17" ht="18.75" x14ac:dyDescent="0.3">
      <c r="H81" s="83"/>
      <c r="Q81" s="83"/>
    </row>
    <row r="83" spans="8:17" ht="18.75" x14ac:dyDescent="0.3">
      <c r="H83" s="83"/>
      <c r="Q83" s="83"/>
    </row>
    <row r="85" spans="8:17" ht="18.75" x14ac:dyDescent="0.3">
      <c r="H85" s="83"/>
      <c r="Q85" s="83"/>
    </row>
    <row r="87" spans="8:17" ht="18.75" x14ac:dyDescent="0.3">
      <c r="H87" s="83"/>
      <c r="Q87" s="83"/>
    </row>
    <row r="89" spans="8:17" ht="18.75" x14ac:dyDescent="0.3">
      <c r="H89" s="83"/>
      <c r="Q89" s="83"/>
    </row>
    <row r="91" spans="8:17" ht="18.75" x14ac:dyDescent="0.3">
      <c r="H91" s="83"/>
      <c r="Q91" s="83"/>
    </row>
    <row r="93" spans="8:17" ht="18.75" x14ac:dyDescent="0.3">
      <c r="H93" s="83"/>
      <c r="Q93" s="83"/>
    </row>
    <row r="95" spans="8:17" ht="18.75" x14ac:dyDescent="0.3">
      <c r="H95" s="83"/>
      <c r="Q95" s="83"/>
    </row>
    <row r="96" spans="8:17" ht="18.75" x14ac:dyDescent="0.3">
      <c r="H96" s="83"/>
      <c r="Q96" s="83"/>
    </row>
    <row r="97" spans="8:17" ht="18.75" x14ac:dyDescent="0.3">
      <c r="H97" s="83"/>
      <c r="Q97" s="83"/>
    </row>
    <row r="98" spans="8:17" ht="18.75" x14ac:dyDescent="0.3">
      <c r="H98" s="83"/>
      <c r="Q98" s="83"/>
    </row>
    <row r="99" spans="8:17" ht="18.75" x14ac:dyDescent="0.3">
      <c r="H99" s="83"/>
      <c r="Q99" s="83"/>
    </row>
    <row r="100" spans="8:17" ht="18.75" x14ac:dyDescent="0.3">
      <c r="H100" s="83"/>
      <c r="Q100" s="83"/>
    </row>
    <row r="101" spans="8:17" ht="18.75" x14ac:dyDescent="0.3">
      <c r="H101" s="83"/>
      <c r="Q101" s="83"/>
    </row>
    <row r="121" spans="8:17" ht="18.75" x14ac:dyDescent="0.3">
      <c r="H121" s="83"/>
      <c r="Q121" s="83"/>
    </row>
    <row r="124" spans="8:17" ht="18.75" x14ac:dyDescent="0.3">
      <c r="H124" s="83"/>
      <c r="Q124" s="83"/>
    </row>
    <row r="126" spans="8:17" ht="18.75" x14ac:dyDescent="0.3">
      <c r="H126" s="83"/>
      <c r="Q126" s="83"/>
    </row>
    <row r="128" spans="8:17" ht="18.75" x14ac:dyDescent="0.3">
      <c r="H128" s="83"/>
      <c r="Q128" s="83"/>
    </row>
    <row r="130" spans="8:17" ht="18.75" x14ac:dyDescent="0.3">
      <c r="H130" s="83"/>
      <c r="Q130" s="83"/>
    </row>
    <row r="132" spans="8:17" ht="18.75" x14ac:dyDescent="0.3">
      <c r="H132" s="83"/>
      <c r="Q132" s="83"/>
    </row>
    <row r="134" spans="8:17" ht="18.75" x14ac:dyDescent="0.3">
      <c r="H134" s="83"/>
      <c r="Q134" s="83"/>
    </row>
    <row r="136" spans="8:17" ht="18.75" x14ac:dyDescent="0.3">
      <c r="H136" s="83"/>
      <c r="Q136" s="83"/>
    </row>
    <row r="138" spans="8:17" ht="18.75" x14ac:dyDescent="0.3">
      <c r="H138" s="83"/>
      <c r="Q138" s="83"/>
    </row>
    <row r="140" spans="8:17" ht="18.75" x14ac:dyDescent="0.3">
      <c r="H140" s="83"/>
      <c r="Q140" s="83"/>
    </row>
    <row r="141" spans="8:17" ht="18.75" x14ac:dyDescent="0.3">
      <c r="Q141" s="83"/>
    </row>
    <row r="142" spans="8:17" ht="18.75" x14ac:dyDescent="0.3">
      <c r="H142" s="83"/>
      <c r="Q142" s="83"/>
    </row>
    <row r="143" spans="8:17" ht="18.75" x14ac:dyDescent="0.3">
      <c r="H143" s="83"/>
      <c r="Q143" s="83"/>
    </row>
    <row r="144" spans="8:17" ht="18.75" x14ac:dyDescent="0.3">
      <c r="H144" s="83"/>
      <c r="Q144" s="83"/>
    </row>
    <row r="145" spans="8:17" ht="18.75" x14ac:dyDescent="0.3">
      <c r="H145" s="83"/>
      <c r="Q145" s="83"/>
    </row>
    <row r="146" spans="8:17" ht="18.75" x14ac:dyDescent="0.3">
      <c r="H146" s="83"/>
      <c r="Q146" s="83"/>
    </row>
    <row r="169" spans="8:17" ht="18.75" x14ac:dyDescent="0.3">
      <c r="H169" s="83"/>
      <c r="Q169" s="83"/>
    </row>
    <row r="172" spans="8:17" ht="18.75" x14ac:dyDescent="0.3">
      <c r="H172" s="83"/>
      <c r="Q172" s="83"/>
    </row>
    <row r="174" spans="8:17" ht="18.75" x14ac:dyDescent="0.3">
      <c r="H174" s="83"/>
      <c r="Q174" s="83"/>
    </row>
    <row r="176" spans="8:17" ht="18.75" x14ac:dyDescent="0.3">
      <c r="H176" s="83"/>
      <c r="Q176" s="83"/>
    </row>
    <row r="178" spans="8:17" ht="18.75" x14ac:dyDescent="0.3">
      <c r="H178" s="83"/>
      <c r="Q178" s="83"/>
    </row>
    <row r="180" spans="8:17" ht="18.75" x14ac:dyDescent="0.3">
      <c r="H180" s="83"/>
      <c r="Q180" s="83"/>
    </row>
    <row r="182" spans="8:17" ht="18.75" x14ac:dyDescent="0.3">
      <c r="H182" s="83"/>
      <c r="Q182" s="83"/>
    </row>
    <row r="184" spans="8:17" ht="18.75" x14ac:dyDescent="0.3">
      <c r="H184" s="83"/>
      <c r="Q184" s="83"/>
    </row>
    <row r="186" spans="8:17" ht="18.75" x14ac:dyDescent="0.3">
      <c r="H186" s="83"/>
      <c r="Q186" s="83"/>
    </row>
    <row r="188" spans="8:17" ht="18.75" x14ac:dyDescent="0.3">
      <c r="H188" s="83"/>
      <c r="Q188" s="83"/>
    </row>
    <row r="190" spans="8:17" ht="18.75" x14ac:dyDescent="0.3">
      <c r="H190" s="83"/>
      <c r="Q190" s="83"/>
    </row>
    <row r="192" spans="8:17" ht="18.75" x14ac:dyDescent="0.3">
      <c r="H192" s="83"/>
      <c r="Q192" s="83"/>
    </row>
    <row r="194" spans="8:17" ht="18.75" x14ac:dyDescent="0.3">
      <c r="H194" s="83"/>
      <c r="Q194" s="83"/>
    </row>
    <row r="217" spans="8:17" ht="18.75" x14ac:dyDescent="0.3">
      <c r="H217" s="83"/>
      <c r="Q217" s="83"/>
    </row>
    <row r="219" spans="8:17" ht="18.75" x14ac:dyDescent="0.3">
      <c r="H219" s="83"/>
      <c r="Q219" s="83"/>
    </row>
    <row r="220" spans="8:17" ht="18.75" x14ac:dyDescent="0.3">
      <c r="H220" s="83"/>
      <c r="Q220" s="83"/>
    </row>
    <row r="221" spans="8:17" ht="18.75" x14ac:dyDescent="0.3">
      <c r="H221" s="83"/>
      <c r="Q221" s="83"/>
    </row>
    <row r="222" spans="8:17" ht="18.75" x14ac:dyDescent="0.3">
      <c r="H222" s="83"/>
      <c r="Q222" s="83"/>
    </row>
    <row r="223" spans="8:17" ht="18.75" x14ac:dyDescent="0.3">
      <c r="H223" s="83"/>
      <c r="Q223" s="83"/>
    </row>
    <row r="224" spans="8:17" ht="18.75" x14ac:dyDescent="0.3">
      <c r="H224" s="83"/>
      <c r="Q224" s="83"/>
    </row>
    <row r="225" spans="8:17" ht="18.75" x14ac:dyDescent="0.3">
      <c r="H225" s="83"/>
      <c r="Q225" s="83"/>
    </row>
    <row r="226" spans="8:17" ht="18.75" x14ac:dyDescent="0.3">
      <c r="H226" s="83"/>
      <c r="Q226" s="83"/>
    </row>
    <row r="227" spans="8:17" ht="18.75" x14ac:dyDescent="0.3">
      <c r="H227" s="83"/>
      <c r="Q227" s="83"/>
    </row>
    <row r="228" spans="8:17" ht="18.75" x14ac:dyDescent="0.3">
      <c r="H228" s="83"/>
      <c r="Q228" s="83"/>
    </row>
    <row r="229" spans="8:17" ht="18.75" x14ac:dyDescent="0.3">
      <c r="H229" s="83"/>
      <c r="Q229" s="83"/>
    </row>
    <row r="230" spans="8:17" ht="18.75" x14ac:dyDescent="0.3">
      <c r="H230" s="83"/>
      <c r="Q230" s="83"/>
    </row>
    <row r="231" spans="8:17" ht="18.75" x14ac:dyDescent="0.3">
      <c r="H231" s="83"/>
      <c r="Q231" s="83"/>
    </row>
    <row r="232" spans="8:17" ht="18.75" x14ac:dyDescent="0.3">
      <c r="H232" s="83"/>
      <c r="Q232" s="83"/>
    </row>
    <row r="233" spans="8:17" ht="18.75" x14ac:dyDescent="0.3">
      <c r="H233" s="83"/>
      <c r="Q233" s="83"/>
    </row>
    <row r="234" spans="8:17" ht="18.75" x14ac:dyDescent="0.3">
      <c r="H234" s="83"/>
      <c r="Q234" s="83"/>
    </row>
    <row r="235" spans="8:17" ht="18.75" x14ac:dyDescent="0.3">
      <c r="H235" s="83"/>
      <c r="Q235" s="83"/>
    </row>
    <row r="236" spans="8:17" ht="18.75" x14ac:dyDescent="0.3">
      <c r="H236" s="83"/>
      <c r="Q236" s="83"/>
    </row>
    <row r="237" spans="8:17" ht="18.75" x14ac:dyDescent="0.3">
      <c r="H237" s="83"/>
      <c r="Q237" s="83"/>
    </row>
    <row r="238" spans="8:17" ht="18.75" x14ac:dyDescent="0.3">
      <c r="H238" s="83"/>
      <c r="Q238" s="83"/>
    </row>
    <row r="239" spans="8:17" ht="18.75" x14ac:dyDescent="0.3">
      <c r="H239" s="83"/>
      <c r="Q239" s="83"/>
    </row>
    <row r="240" spans="8:17" ht="18.75" x14ac:dyDescent="0.3">
      <c r="H240" s="83"/>
      <c r="Q240" s="83"/>
    </row>
    <row r="241" spans="8:17" ht="18.75" x14ac:dyDescent="0.3">
      <c r="H241" s="83"/>
      <c r="Q241" s="83"/>
    </row>
    <row r="242" spans="8:17" ht="18.75" x14ac:dyDescent="0.3">
      <c r="H242" s="83"/>
      <c r="Q242" s="83"/>
    </row>
    <row r="265" spans="8:17" ht="18.75" x14ac:dyDescent="0.3">
      <c r="H265" s="83"/>
      <c r="Q265" s="83"/>
    </row>
    <row r="268" spans="8:17" ht="18.75" x14ac:dyDescent="0.3">
      <c r="H268" s="83"/>
      <c r="Q268" s="83"/>
    </row>
    <row r="270" spans="8:17" ht="18.75" x14ac:dyDescent="0.3">
      <c r="H270" s="83"/>
      <c r="Q270" s="83"/>
    </row>
    <row r="271" spans="8:17" ht="18.75" x14ac:dyDescent="0.3">
      <c r="H271" s="83"/>
    </row>
    <row r="272" spans="8:17" ht="18.75" x14ac:dyDescent="0.3">
      <c r="H272" s="83"/>
      <c r="Q272" s="83"/>
    </row>
    <row r="274" spans="8:17" ht="18.75" x14ac:dyDescent="0.3">
      <c r="H274" s="83"/>
      <c r="Q274" s="83"/>
    </row>
    <row r="276" spans="8:17" ht="18.75" x14ac:dyDescent="0.3">
      <c r="H276" s="83"/>
      <c r="Q276" s="83"/>
    </row>
    <row r="278" spans="8:17" ht="18.75" x14ac:dyDescent="0.3">
      <c r="H278" s="83"/>
      <c r="Q278" s="83"/>
    </row>
    <row r="280" spans="8:17" ht="18.75" x14ac:dyDescent="0.3">
      <c r="H280" s="83"/>
      <c r="Q280" s="83"/>
    </row>
    <row r="282" spans="8:17" ht="18.75" x14ac:dyDescent="0.3">
      <c r="H282" s="83"/>
      <c r="Q282" s="83"/>
    </row>
    <row r="284" spans="8:17" ht="18.75" x14ac:dyDescent="0.3">
      <c r="H284" s="83"/>
      <c r="Q284" s="83"/>
    </row>
    <row r="285" spans="8:17" ht="18.75" x14ac:dyDescent="0.3">
      <c r="H285" s="83"/>
      <c r="Q285" s="83"/>
    </row>
    <row r="286" spans="8:17" ht="18.75" x14ac:dyDescent="0.3">
      <c r="H286" s="83"/>
      <c r="Q286" s="83"/>
    </row>
    <row r="287" spans="8:17" ht="18.75" x14ac:dyDescent="0.3">
      <c r="H287" s="83"/>
      <c r="Q287" s="83"/>
    </row>
    <row r="288" spans="8:17" ht="18.75" x14ac:dyDescent="0.3">
      <c r="H288" s="83"/>
      <c r="Q288" s="83"/>
    </row>
    <row r="289" spans="8:17" ht="18.75" x14ac:dyDescent="0.3">
      <c r="H289" s="83"/>
      <c r="Q289" s="83"/>
    </row>
    <row r="290" spans="8:17" ht="18.75" x14ac:dyDescent="0.3">
      <c r="H290" s="83"/>
      <c r="Q290" s="83"/>
    </row>
    <row r="292" spans="8:17" ht="18.75" x14ac:dyDescent="0.3">
      <c r="H292" s="83"/>
    </row>
    <row r="311" spans="8:17" ht="18.75" x14ac:dyDescent="0.3">
      <c r="H311" s="83"/>
      <c r="Q311" s="83"/>
    </row>
    <row r="314" spans="8:17" ht="18.75" x14ac:dyDescent="0.3">
      <c r="H314" s="83"/>
      <c r="Q314" s="83"/>
    </row>
    <row r="316" spans="8:17" ht="18.75" x14ac:dyDescent="0.3">
      <c r="H316" s="83"/>
      <c r="Q316" s="83"/>
    </row>
    <row r="318" spans="8:17" ht="18.75" x14ac:dyDescent="0.3">
      <c r="H318" s="83"/>
      <c r="Q318" s="83"/>
    </row>
    <row r="320" spans="8:17" ht="18.75" x14ac:dyDescent="0.3">
      <c r="H320" s="83"/>
      <c r="Q320" s="83"/>
    </row>
    <row r="322" spans="8:17" ht="18.75" x14ac:dyDescent="0.3">
      <c r="H322" s="83"/>
      <c r="Q322" s="83"/>
    </row>
    <row r="324" spans="8:17" ht="18.75" x14ac:dyDescent="0.3">
      <c r="H324" s="83"/>
      <c r="Q324" s="83"/>
    </row>
    <row r="326" spans="8:17" ht="18.75" x14ac:dyDescent="0.3">
      <c r="H326" s="83"/>
      <c r="Q326" s="83"/>
    </row>
    <row r="328" spans="8:17" ht="18.75" x14ac:dyDescent="0.3">
      <c r="H328" s="83"/>
      <c r="Q328" s="83"/>
    </row>
    <row r="330" spans="8:17" ht="18.75" x14ac:dyDescent="0.3">
      <c r="H330" s="83"/>
      <c r="Q330" s="83"/>
    </row>
    <row r="332" spans="8:17" ht="18.75" x14ac:dyDescent="0.3">
      <c r="H332" s="83"/>
      <c r="Q332" s="83"/>
    </row>
    <row r="334" spans="8:17" ht="18.75" x14ac:dyDescent="0.3">
      <c r="H334" s="83"/>
      <c r="Q334" s="83"/>
    </row>
    <row r="336" spans="8:17" ht="18.75" x14ac:dyDescent="0.3">
      <c r="H336" s="83"/>
      <c r="Q336" s="83"/>
    </row>
    <row r="362" spans="8:17" ht="18.75" x14ac:dyDescent="0.3">
      <c r="Q362" s="83"/>
    </row>
    <row r="364" spans="8:17" ht="18.75" x14ac:dyDescent="0.3">
      <c r="H364" s="83"/>
      <c r="Q364" s="83"/>
    </row>
    <row r="366" spans="8:17" ht="18.75" x14ac:dyDescent="0.3">
      <c r="H366" s="83"/>
    </row>
    <row r="368" spans="8:17" ht="18.75" x14ac:dyDescent="0.3">
      <c r="H368" s="83"/>
      <c r="Q368" s="83"/>
    </row>
    <row r="396" spans="8:17" ht="18.75" x14ac:dyDescent="0.3">
      <c r="H396" s="83"/>
    </row>
    <row r="398" spans="8:17" ht="18.75" x14ac:dyDescent="0.3">
      <c r="Q398" s="83"/>
    </row>
    <row r="399" spans="8:17" ht="18.75" x14ac:dyDescent="0.3">
      <c r="Q399" s="83"/>
    </row>
    <row r="400" spans="8:17" ht="18.75" x14ac:dyDescent="0.3">
      <c r="Q400" s="83"/>
    </row>
    <row r="401" spans="8:17" ht="18.75" x14ac:dyDescent="0.3">
      <c r="Q401" s="83"/>
    </row>
    <row r="402" spans="8:17" ht="18.75" x14ac:dyDescent="0.3">
      <c r="H402" s="83"/>
      <c r="Q402" s="83"/>
    </row>
    <row r="404" spans="8:17" ht="18.75" x14ac:dyDescent="0.3">
      <c r="H404" s="83"/>
      <c r="Q404" s="83"/>
    </row>
    <row r="407" spans="8:17" ht="18.75" x14ac:dyDescent="0.3">
      <c r="Q407" s="83"/>
    </row>
    <row r="431" spans="8:17" ht="18.75" x14ac:dyDescent="0.3">
      <c r="Q431" s="83"/>
    </row>
    <row r="432" spans="8:17" ht="18.75" x14ac:dyDescent="0.3">
      <c r="H432" s="83"/>
      <c r="Q432" s="83"/>
    </row>
    <row r="433" spans="8:17" ht="18.75" x14ac:dyDescent="0.3">
      <c r="H433" s="83"/>
      <c r="Q433" s="83"/>
    </row>
    <row r="434" spans="8:17" ht="18.75" x14ac:dyDescent="0.3">
      <c r="H434" s="83"/>
      <c r="Q434" s="83"/>
    </row>
    <row r="435" spans="8:17" ht="18.75" x14ac:dyDescent="0.3">
      <c r="H435" s="83"/>
      <c r="Q435" s="83"/>
    </row>
    <row r="436" spans="8:17" ht="18.75" x14ac:dyDescent="0.3">
      <c r="H436" s="83"/>
      <c r="Q436" s="83"/>
    </row>
    <row r="437" spans="8:17" ht="18.75" x14ac:dyDescent="0.3">
      <c r="H437" s="83"/>
      <c r="Q437" s="83"/>
    </row>
    <row r="439" spans="8:17" ht="18.75" x14ac:dyDescent="0.3">
      <c r="H439" s="83"/>
      <c r="Q439" s="83"/>
    </row>
    <row r="493" spans="13:13" ht="18.75" x14ac:dyDescent="0.3">
      <c r="M493" s="85"/>
    </row>
    <row r="494" spans="13:13" ht="18.75" x14ac:dyDescent="0.3">
      <c r="M494" s="1" t="s">
        <v>36</v>
      </c>
    </row>
  </sheetData>
  <mergeCells count="64">
    <mergeCell ref="A76:Q76"/>
    <mergeCell ref="A58:B58"/>
    <mergeCell ref="C58:N58"/>
    <mergeCell ref="O58:Q58"/>
    <mergeCell ref="A59:A60"/>
    <mergeCell ref="B59:D59"/>
    <mergeCell ref="E59:E60"/>
    <mergeCell ref="F59:F60"/>
    <mergeCell ref="G59:G60"/>
    <mergeCell ref="H59:H60"/>
    <mergeCell ref="I59:K59"/>
    <mergeCell ref="L59:O59"/>
    <mergeCell ref="P59:P60"/>
    <mergeCell ref="Q59:Q60"/>
    <mergeCell ref="A74:Q74"/>
    <mergeCell ref="A75:Q75"/>
    <mergeCell ref="A57:Q57"/>
    <mergeCell ref="A39:B39"/>
    <mergeCell ref="C39:N39"/>
    <mergeCell ref="O39:Q39"/>
    <mergeCell ref="A40:A41"/>
    <mergeCell ref="B40:D40"/>
    <mergeCell ref="E40:E41"/>
    <mergeCell ref="F40:F41"/>
    <mergeCell ref="G40:G41"/>
    <mergeCell ref="H40:H41"/>
    <mergeCell ref="I40:K40"/>
    <mergeCell ref="L40:O40"/>
    <mergeCell ref="P40:P41"/>
    <mergeCell ref="Q40:Q41"/>
    <mergeCell ref="A55:Q55"/>
    <mergeCell ref="A56:Q56"/>
    <mergeCell ref="A38:Q38"/>
    <mergeCell ref="A20:B20"/>
    <mergeCell ref="C20:N20"/>
    <mergeCell ref="O20:Q20"/>
    <mergeCell ref="A21:A22"/>
    <mergeCell ref="B21:D21"/>
    <mergeCell ref="E21:E22"/>
    <mergeCell ref="F21:F22"/>
    <mergeCell ref="G21:G22"/>
    <mergeCell ref="H21:H22"/>
    <mergeCell ref="I21:K21"/>
    <mergeCell ref="L21:O21"/>
    <mergeCell ref="P21:P22"/>
    <mergeCell ref="Q21:Q22"/>
    <mergeCell ref="A36:Q36"/>
    <mergeCell ref="A37:Q37"/>
    <mergeCell ref="A19:Q19"/>
    <mergeCell ref="A1:B1"/>
    <mergeCell ref="C1:N1"/>
    <mergeCell ref="O1:Q1"/>
    <mergeCell ref="A2:A3"/>
    <mergeCell ref="B2:D2"/>
    <mergeCell ref="E2:E3"/>
    <mergeCell ref="F2:F3"/>
    <mergeCell ref="G2:G3"/>
    <mergeCell ref="H2:H3"/>
    <mergeCell ref="I2:K2"/>
    <mergeCell ref="L2:O2"/>
    <mergeCell ref="P2:P3"/>
    <mergeCell ref="Q2:Q3"/>
    <mergeCell ref="A17:Q17"/>
    <mergeCell ref="A18:Q18"/>
  </mergeCells>
  <pageMargins left="0.7" right="0.7" top="0.75" bottom="0.5" header="0.3" footer="0.3"/>
  <pageSetup scale="66" firstPageNumber="76" orientation="landscape" useFirstPageNumber="1" r:id="rId1"/>
  <rowBreaks count="3" manualBreakCount="3">
    <brk id="19" max="16383" man="1"/>
    <brk id="38" max="16383" man="1"/>
    <brk id="57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Monthly_Template</vt:lpstr>
      <vt:lpstr>Monthly_Template!\x</vt:lpstr>
      <vt:lpstr>Monthly_Template!Print_Area</vt:lpstr>
      <vt:lpstr>Monthly_Template!Print_Area_MI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cp:lastPrinted>2025-06-26T11:31:48Z</cp:lastPrinted>
  <dcterms:created xsi:type="dcterms:W3CDTF">2025-06-26T10:53:23Z</dcterms:created>
  <dcterms:modified xsi:type="dcterms:W3CDTF">2026-09-14T05:34:58Z</dcterms:modified>
</cp:coreProperties>
</file>