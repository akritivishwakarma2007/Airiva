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<sst xmlns="http://schemas.openxmlformats.org/spreadsheetml/2006/main" count="157" uniqueCount="44">
  <si>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</si>
  <si>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</si>
  <si>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</si>
  <si>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</si>
  <si>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</si>
  <si>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</si>
  <si>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</si>
  <si>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</si>
  <si>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</si>
  <si>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</si>
  <si>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</si>
  <si>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</si>
  <si>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</si>
  <si>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</si>
  <si>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</si>
  <si>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</si>
  <si>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</si>
  <si>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</si>
  <si>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</si>
  <si>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</si>
  <si>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</si>
  <si>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</si>
  <si>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</si>
  <si>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</si>
  <si>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</si>
  <si>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</si>
  <si>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</si>
  <si>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</si>
  <si>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</si>
  <si>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</si>
  <si>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</si>
  <si>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</si>
  <si>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</si>
  <si>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</si>
  <si>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</si>
  <si>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</si>
  <si>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</si>
  <si>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</si>
  <si>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</si>
  <si>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</si>
  <si>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</si>
  <si>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ALLIANCE AIR</t>
  </si>
  <si>
    <t>2026</t>
  </si>
  <si>
    <t>SOURCE:- ICAO ATR FORM A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</si>
</sst>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B44" sqref="B44:Q4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1378</v>
      </c>
      <c r="C4" s="21">
        <v>1908</v>
      </c>
      <c r="D4" s="22">
        <v>566.423</v>
      </c>
      <c r="E4" s="23">
        <v>57459</v>
      </c>
      <c r="F4" s="21">
        <v>24249.432000000001</v>
      </c>
      <c r="G4" s="21">
        <v>37442.125</v>
      </c>
      <c r="H4" s="25">
        <v>64.77</v>
      </c>
      <c r="I4" s="26">
        <v>0</v>
      </c>
      <c r="J4" s="27">
        <v>0</v>
      </c>
      <c r="K4" s="25">
        <v>0</v>
      </c>
      <c r="L4" s="26">
        <v>2206.6983</v>
      </c>
      <c r="M4" s="27">
        <v>0</v>
      </c>
      <c r="N4" s="27">
        <v>0</v>
      </c>
      <c r="O4" s="25">
        <v>2206.6983</v>
      </c>
      <c r="P4" s="27">
        <v>3585.4402</v>
      </c>
      <c r="Q4" s="25">
        <v>61.55</v>
      </c>
    </row>
    <row r="5" spans="1:17" ht="23.1" customHeight="1" x14ac:dyDescent="0.25">
      <c r="A5" s="43" t="s">
        <v>20</v>
      </c>
      <c r="B5" s="64">
        <v>1309</v>
      </c>
      <c r="C5" s="64">
        <v>1786</v>
      </c>
      <c r="D5" s="53">
        <v>523.14300000000003</v>
      </c>
      <c r="E5" s="75">
        <v>53796</v>
      </c>
      <c r="F5" s="64">
        <v>22518.46</v>
      </c>
      <c r="G5" s="64">
        <v>34209.063999999998</v>
      </c>
      <c r="H5" s="84">
        <v>65.83</v>
      </c>
      <c r="I5" s="93">
        <v>0</v>
      </c>
      <c r="J5" s="102">
        <v>0</v>
      </c>
      <c r="K5" s="84">
        <v>0</v>
      </c>
      <c r="L5" s="93">
        <v>2049.1799000000001</v>
      </c>
      <c r="M5" s="102">
        <v>0</v>
      </c>
      <c r="N5" s="102">
        <v>0</v>
      </c>
      <c r="O5" s="84">
        <v>2049.1799000000001</v>
      </c>
      <c r="P5" s="102">
        <v>3270.3366999999998</v>
      </c>
      <c r="Q5" s="84">
        <v>62.66</v>
      </c>
    </row>
    <row r="6" spans="1:17" ht="23.1" customHeight="1" x14ac:dyDescent="0.25">
      <c r="A6" s="45" t="s">
        <v>21</v>
      </c>
      <c r="B6" s="29">
        <v>1214</v>
      </c>
      <c r="C6" s="29">
        <v>1689</v>
      </c>
      <c r="D6" s="28">
        <v>497.74</v>
      </c>
      <c r="E6" s="30">
        <v>45672</v>
      </c>
      <c r="F6" s="29">
        <v>19769.918000000001</v>
      </c>
      <c r="G6" s="29">
        <v>32604.696</v>
      </c>
      <c r="H6" s="31">
        <v>60.64</v>
      </c>
      <c r="I6" s="32">
        <v>0</v>
      </c>
      <c r="J6" s="33">
        <v>0</v>
      </c>
      <c r="K6" s="31">
        <v>0</v>
      </c>
      <c r="L6" s="32">
        <v>1799.0625</v>
      </c>
      <c r="M6" s="33">
        <v>0</v>
      </c>
      <c r="N6" s="33">
        <v>0</v>
      </c>
      <c r="O6" s="31">
        <v>1799.0625</v>
      </c>
      <c r="P6" s="33">
        <v>3122.1898000000001</v>
      </c>
      <c r="Q6" s="31">
        <v>57.62</v>
      </c>
    </row>
    <row r="7" spans="1:17" ht="23.1" customHeight="1" x14ac:dyDescent="0.25">
      <c r="A7" s="43" t="s">
        <v>22</v>
      </c>
      <c r="B7" s="64">
        <v>1156</v>
      </c>
      <c r="C7" s="64">
        <v>1575</v>
      </c>
      <c r="D7" s="53">
        <v>454.52800000000002</v>
      </c>
      <c r="E7" s="75">
        <v>42677</v>
      </c>
      <c r="F7" s="64">
        <v>18243.580999999998</v>
      </c>
      <c r="G7" s="64">
        <v>29836.52</v>
      </c>
      <c r="H7" s="84">
        <v>61.15</v>
      </c>
      <c r="I7" s="93">
        <v>0</v>
      </c>
      <c r="J7" s="102">
        <v>0</v>
      </c>
      <c r="K7" s="84">
        <v>0</v>
      </c>
      <c r="L7" s="93">
        <v>1660.1659</v>
      </c>
      <c r="M7" s="102">
        <v>0</v>
      </c>
      <c r="N7" s="102">
        <v>0</v>
      </c>
      <c r="O7" s="84">
        <v>1660.1659</v>
      </c>
      <c r="P7" s="102">
        <v>2871.3105999999998</v>
      </c>
      <c r="Q7" s="84">
        <v>57.82</v>
      </c>
    </row>
    <row r="8" spans="1:17" ht="30" customHeight="1" x14ac:dyDescent="0.25">
      <c r="A8" s="45" t="s">
        <v>23</v>
      </c>
      <c r="B8" s="29">
        <v>1400</v>
      </c>
      <c r="C8" s="29">
        <v>1887</v>
      </c>
      <c r="D8" s="28">
        <v>541.46299999999997</v>
      </c>
      <c r="E8" s="30">
        <v>50348</v>
      </c>
      <c r="F8" s="29">
        <v>20946.758000000002</v>
      </c>
      <c r="G8" s="29">
        <v>34227.084000000003</v>
      </c>
      <c r="H8" s="31">
        <v>61.2</v>
      </c>
      <c r="I8" s="32">
        <v>6.641</v>
      </c>
      <c r="J8" s="33">
        <v>0</v>
      </c>
      <c r="K8" s="31">
        <v>6.641</v>
      </c>
      <c r="L8" s="32">
        <v>1906.155</v>
      </c>
      <c r="M8" s="33">
        <v>6.6E-3</v>
      </c>
      <c r="N8" s="33">
        <v>0</v>
      </c>
      <c r="O8" s="31">
        <v>1906.1615999999999</v>
      </c>
      <c r="P8" s="33">
        <v>3276.0364</v>
      </c>
      <c r="Q8" s="31">
        <v>58.18</v>
      </c>
    </row>
    <row r="9" spans="1:17" ht="23.1" customHeight="1" x14ac:dyDescent="0.25">
      <c r="A9" s="43" t="s">
        <v>39</v>
      </c>
      <c r="B9" s="64">
        <v>1417</v>
      </c>
      <c r="C9" s="64">
        <v>1869</v>
      </c>
      <c r="D9" s="53">
        <v>538.66999999999996</v>
      </c>
      <c r="E9" s="75">
        <v>50896</v>
      </c>
      <c r="F9" s="64">
        <v>20816.384999999998</v>
      </c>
      <c r="G9" s="64">
        <v>33714.334999999999</v>
      </c>
      <c r="H9" s="84">
        <v>61.74</v>
      </c>
      <c r="I9" s="93">
        <v>14.983000000000001</v>
      </c>
      <c r="J9" s="102">
        <v>0</v>
      </c>
      <c r="K9" s="84">
        <v>14.983000000000001</v>
      </c>
      <c r="L9" s="93">
        <v>1894.2909999999999</v>
      </c>
      <c r="M9" s="102">
        <v>1.4999999999999999E-2</v>
      </c>
      <c r="N9" s="102">
        <v>0</v>
      </c>
      <c r="O9" s="84">
        <v>1894.306</v>
      </c>
      <c r="P9" s="102">
        <v>3233.8723</v>
      </c>
      <c r="Q9" s="84">
        <v>58.58</v>
      </c>
    </row>
    <row r="10" spans="1:17" ht="23.1" customHeight="1" x14ac:dyDescent="0.25">
      <c r="A10" s="45" t="s">
        <v>24</v>
      </c>
      <c r="B10" s="29">
        <v>1409</v>
      </c>
      <c r="C10" s="29">
        <v>1879</v>
      </c>
      <c r="D10" s="28">
        <v>551.33500000000004</v>
      </c>
      <c r="E10" s="30">
        <v>50078</v>
      </c>
      <c r="F10" s="29">
        <v>20792.337</v>
      </c>
      <c r="G10" s="29">
        <v>34940.055999999997</v>
      </c>
      <c r="H10" s="31">
        <v>59.51</v>
      </c>
      <c r="I10" s="32">
        <v>14.596</v>
      </c>
      <c r="J10" s="33">
        <v>0</v>
      </c>
      <c r="K10" s="31">
        <v>14.596</v>
      </c>
      <c r="L10" s="32">
        <v>1892.1026999999999</v>
      </c>
      <c r="M10" s="33">
        <v>1.46E-2</v>
      </c>
      <c r="N10" s="33">
        <v>0</v>
      </c>
      <c r="O10" s="31">
        <v>1892.1172999999999</v>
      </c>
      <c r="P10" s="33">
        <v>3342.5985000000001</v>
      </c>
      <c r="Q10" s="31">
        <v>56.61</v>
      </c>
    </row>
    <row r="11" spans="1:17" ht="23.1" customHeight="1" x14ac:dyDescent="0.25">
      <c r="A11" s="43" t="s">
        <v>25</v>
      </c>
      <c r="B11" s="64">
        <v>1530</v>
      </c>
      <c r="C11" s="64">
        <v>2140</v>
      </c>
      <c r="D11" s="53">
        <v>640.88400000000001</v>
      </c>
      <c r="E11" s="75">
        <v>57198</v>
      </c>
      <c r="F11" s="64">
        <v>24858.217000000001</v>
      </c>
      <c r="G11" s="64">
        <v>42261.491000000002</v>
      </c>
      <c r="H11" s="84">
        <v>58.82</v>
      </c>
      <c r="I11" s="93">
        <v>22.128</v>
      </c>
      <c r="J11" s="102">
        <v>0</v>
      </c>
      <c r="K11" s="84">
        <v>22.128</v>
      </c>
      <c r="L11" s="93">
        <v>2262.0976999999998</v>
      </c>
      <c r="M11" s="102">
        <v>2.2100000000000002E-2</v>
      </c>
      <c r="N11" s="102">
        <v>0</v>
      </c>
      <c r="O11" s="84">
        <v>2262.1197999999999</v>
      </c>
      <c r="P11" s="102">
        <v>4056.6343000000002</v>
      </c>
      <c r="Q11" s="84">
        <v>55.76</v>
      </c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10813</v>
      </c>
      <c r="C16" s="36">
        <f t="shared" si="0"/>
        <v>14733</v>
      </c>
      <c r="D16" s="36">
        <f t="shared" si="0"/>
        <v>4314.1859999999997</v>
      </c>
      <c r="E16" s="36">
        <f t="shared" si="0"/>
        <v>408124</v>
      </c>
      <c r="F16" s="36">
        <f t="shared" si="0"/>
        <v>172195.08799999999</v>
      </c>
      <c r="G16" s="36">
        <f t="shared" si="0"/>
        <v>279235.37099999998</v>
      </c>
      <c r="H16" s="37">
        <f>IFERROR(F16/G16*100,"")</f>
        <v>61.666646092625562</v>
      </c>
      <c r="I16" s="37">
        <f t="shared" ref="I16:P16" si="1">IFERROR(SUM(I4:I15),"")</f>
        <v>58.347999999999999</v>
      </c>
      <c r="J16" s="37">
        <f t="shared" si="1"/>
        <v>0</v>
      </c>
      <c r="K16" s="37">
        <f t="shared" si="1"/>
        <v>58.347999999999999</v>
      </c>
      <c r="L16" s="37">
        <f t="shared" si="1"/>
        <v>15669.752999999999</v>
      </c>
      <c r="M16" s="37">
        <f t="shared" si="1"/>
        <v>5.8300000000000005E-2</v>
      </c>
      <c r="N16" s="37">
        <f t="shared" si="1"/>
        <v>0</v>
      </c>
      <c r="O16" s="37">
        <f t="shared" si="1"/>
        <v>15669.811300000001</v>
      </c>
      <c r="P16" s="38">
        <f t="shared" si="1"/>
        <v>26758.418800000003</v>
      </c>
      <c r="Q16" s="38">
        <f>IFERROR(O16/P16*100,"")</f>
        <v>58.5603036454456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>
        <v>10</v>
      </c>
      <c r="C43" s="65">
        <v>12</v>
      </c>
      <c r="D43" s="66">
        <v>6.57</v>
      </c>
      <c r="E43" s="63">
        <v>15</v>
      </c>
      <c r="F43" s="65">
        <v>9.8550000000000004</v>
      </c>
      <c r="G43" s="65">
        <v>459.9</v>
      </c>
      <c r="H43" s="67">
        <v>2.14</v>
      </c>
      <c r="I43" s="68">
        <v>0</v>
      </c>
      <c r="J43" s="69">
        <v>0</v>
      </c>
      <c r="K43" s="67">
        <v>0</v>
      </c>
      <c r="L43" s="68">
        <v>0.89680000000000004</v>
      </c>
      <c r="M43" s="69">
        <v>0</v>
      </c>
      <c r="N43" s="69">
        <v>0</v>
      </c>
      <c r="O43" s="67">
        <v>0.89680000000000004</v>
      </c>
      <c r="P43" s="68">
        <v>43.6905</v>
      </c>
      <c r="Q43" s="67">
        <v>2.0499999999999998</v>
      </c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>
        <v>8</v>
      </c>
      <c r="C46" s="115">
        <v>7</v>
      </c>
      <c r="D46" s="111">
        <v>2.0859999999999999</v>
      </c>
      <c r="E46" s="109">
        <v>4</v>
      </c>
      <c r="F46" s="110">
        <v>0.69199999999999995</v>
      </c>
      <c r="G46" s="110">
        <v>146.02000000000001</v>
      </c>
      <c r="H46" s="112">
        <v>0.47</v>
      </c>
      <c r="I46" s="113">
        <v>0</v>
      </c>
      <c r="J46" s="114">
        <v>0</v>
      </c>
      <c r="K46" s="112">
        <v>0</v>
      </c>
      <c r="L46" s="113">
        <v>6.3E-2</v>
      </c>
      <c r="M46" s="114">
        <v>0</v>
      </c>
      <c r="N46" s="114">
        <v>0</v>
      </c>
      <c r="O46" s="112">
        <v>6.3E-2</v>
      </c>
      <c r="P46" s="113">
        <v>13.8719</v>
      </c>
      <c r="Q46" s="112">
        <v>0.45</v>
      </c>
    </row>
    <row r="47" spans="1:17" ht="25.5" customHeight="1" x14ac:dyDescent="0.25">
      <c r="A47" s="47" t="s">
        <v>39</v>
      </c>
      <c r="B47" s="71">
        <v>6</v>
      </c>
      <c r="C47" s="72">
        <v>3</v>
      </c>
      <c r="D47" s="66">
        <v>1.5940000000000001</v>
      </c>
      <c r="E47" s="71">
        <v>58</v>
      </c>
      <c r="F47" s="72">
        <v>16.46</v>
      </c>
      <c r="G47" s="72">
        <v>73.323999999999998</v>
      </c>
      <c r="H47" s="67">
        <v>22.45</v>
      </c>
      <c r="I47" s="73">
        <v>0</v>
      </c>
      <c r="J47" s="74">
        <v>0</v>
      </c>
      <c r="K47" s="67">
        <v>0</v>
      </c>
      <c r="L47" s="73">
        <v>1.4979</v>
      </c>
      <c r="M47" s="74">
        <v>0</v>
      </c>
      <c r="N47" s="74">
        <v>0</v>
      </c>
      <c r="O47" s="67">
        <v>1.4979</v>
      </c>
      <c r="P47" s="73">
        <v>7.173</v>
      </c>
      <c r="Q47" s="67">
        <v>20.88</v>
      </c>
    </row>
    <row r="48" spans="1:17" ht="25.5" customHeight="1" x14ac:dyDescent="0.25">
      <c r="A48" s="46" t="s">
        <v>40</v>
      </c>
      <c r="B48" s="116">
        <v>17</v>
      </c>
      <c r="C48" s="117">
        <v>27</v>
      </c>
      <c r="D48" s="118">
        <v>11.622999999999999</v>
      </c>
      <c r="E48" s="116">
        <v>40</v>
      </c>
      <c r="F48" s="117">
        <v>49.56</v>
      </c>
      <c r="G48" s="117">
        <v>782.45799999999997</v>
      </c>
      <c r="H48" s="112">
        <v>6.33</v>
      </c>
      <c r="I48" s="119">
        <v>0</v>
      </c>
      <c r="J48" s="120">
        <v>0</v>
      </c>
      <c r="K48" s="112">
        <v>0</v>
      </c>
      <c r="L48" s="119">
        <v>4.51</v>
      </c>
      <c r="M48" s="120">
        <v>0</v>
      </c>
      <c r="N48" s="120">
        <v>0</v>
      </c>
      <c r="O48" s="112">
        <v>4.51</v>
      </c>
      <c r="P48" s="119">
        <v>74.502300000000005</v>
      </c>
      <c r="Q48" s="112">
        <v>6.05</v>
      </c>
    </row>
    <row r="49" spans="1:17" ht="25.5" customHeight="1" x14ac:dyDescent="0.25">
      <c r="A49" s="47" t="s">
        <v>25</v>
      </c>
      <c r="B49" s="71">
        <v>11</v>
      </c>
      <c r="C49" s="72">
        <v>18</v>
      </c>
      <c r="D49" s="76">
        <v>7.8029999999999999</v>
      </c>
      <c r="E49" s="71">
        <v>53</v>
      </c>
      <c r="F49" s="72">
        <v>69.588999999999999</v>
      </c>
      <c r="G49" s="72">
        <v>546.21</v>
      </c>
      <c r="H49" s="67">
        <v>12.74</v>
      </c>
      <c r="I49" s="73">
        <v>0</v>
      </c>
      <c r="J49" s="74">
        <v>0</v>
      </c>
      <c r="K49" s="67">
        <v>0</v>
      </c>
      <c r="L49" s="73">
        <v>6.3326000000000002</v>
      </c>
      <c r="M49" s="74">
        <v>0</v>
      </c>
      <c r="N49" s="74">
        <v>0</v>
      </c>
      <c r="O49" s="67">
        <v>6.3326000000000002</v>
      </c>
      <c r="P49" s="73">
        <v>51.89</v>
      </c>
      <c r="Q49" s="67">
        <v>12.2</v>
      </c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52</v>
      </c>
      <c r="C54" s="123">
        <f t="shared" si="4"/>
        <v>67</v>
      </c>
      <c r="D54" s="123">
        <f t="shared" si="4"/>
        <v>29.675999999999998</v>
      </c>
      <c r="E54" s="123">
        <f t="shared" si="4"/>
        <v>170</v>
      </c>
      <c r="F54" s="123">
        <f t="shared" si="4"/>
        <v>146.15600000000001</v>
      </c>
      <c r="G54" s="123">
        <f t="shared" si="4"/>
        <v>2007.9119999999998</v>
      </c>
      <c r="H54" s="124">
        <f>IFERROR(F54/G54*100,"")</f>
        <v>7.2790042591508008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13.3003</v>
      </c>
      <c r="M54" s="124">
        <f t="shared" si="5"/>
        <v>0</v>
      </c>
      <c r="N54" s="124">
        <f t="shared" si="5"/>
        <v>0</v>
      </c>
      <c r="O54" s="124">
        <f t="shared" si="5"/>
        <v>13.3003</v>
      </c>
      <c r="P54" s="125">
        <f t="shared" si="5"/>
        <v>191.1277</v>
      </c>
      <c r="Q54" s="124">
        <f>IFERROR(O54/P54*100,"")</f>
        <v>6.9588552575058458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2026-09-14T05:35:46Z</dcterms:modified>
</cp:coreProperties>
</file>