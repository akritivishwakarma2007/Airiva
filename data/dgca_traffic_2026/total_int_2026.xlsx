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4000" windowHeight="943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Monthly_Template!$C$133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Monthly_Template!#REF!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P35" i="2" l="1"/>
  <c r="N35" i="2"/>
  <c r="M35" i="2"/>
  <c r="L35" i="2"/>
  <c r="O35" i="2" s="1"/>
  <c r="Q35" i="2" s="1"/>
  <c r="K35" i="2"/>
  <c r="J35" i="2"/>
  <c r="I35" i="2"/>
  <c r="G35" i="2"/>
  <c r="F35" i="2"/>
  <c r="H35" i="2" s="1"/>
  <c r="E35" i="2"/>
  <c r="D35" i="2"/>
  <c r="C35" i="2"/>
  <c r="B35" i="2"/>
  <c r="P16" i="2"/>
  <c r="N16" i="2"/>
  <c r="O16" i="2" s="1"/>
  <c r="Q16" i="2" s="1"/>
  <c r="M16" i="2"/>
  <c r="L16" i="2"/>
  <c r="J16" i="2"/>
  <c r="I16" i="2"/>
  <c r="K16" i="2" s="1"/>
  <c r="G16" i="2"/>
  <c r="F16" i="2"/>
  <c r="H16" i="2" s="1"/>
  <c r="E16" i="2"/>
  <c r="D16" i="2"/>
  <c r="C16" i="2"/>
  <c r="B16" i="2"/>
</calcChain>
</file>

<file path=xl/sharedStrings.xml><?xml version="1.0" encoding="utf-8"?>
<sst xmlns="http://schemas.openxmlformats.org/spreadsheetml/2006/main" count="77" uniqueCount="40">
  <si>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</si>
  <si>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</si>
  <si>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</si>
  <si>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</si>
  <si>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</si>
  <si>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</si>
  <si>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</si>
  <si>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</si>
  <si>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</si>
  <si>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</si>
  <si>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</si>
  <si>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</si>
  <si>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</si>
  <si>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</si>
  <si>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</si>
  <si>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</si>
  <si>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</si>
  <si>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</si>
  <si>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</si>
  <si>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</si>
  <si>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</si>
  <si>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</si>
  <si>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</si>
  <si>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</si>
  <si>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</si>
  <si>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</si>
  <si>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</si>
  <si>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</si>
  <si>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</si>
  <si>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</si>
  <si>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</si>
  <si>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</si>
  <si>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</si>
  <si>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</si>
  <si>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</si>
  <si>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</si>
  <si>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>SOURCE:-ICAO ATR FORM A FURNISHED BY SCHEDULED OPERTORS</t>
  </si>
  <si>
    <t>Monthly Traffic And Operating Statistics of Indian Carriers (Provisional)
 ( Scheduled International  Services)</t>
  </si>
  <si>
    <t>Monthly Traffic And Operating Statistics of Indian Carriers (Provisional)
 (Non- Scheduled International Services)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</si>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</sst>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#,##0.000"/>
  </numFmts>
  <fonts count="8" x14ac:knownFonts="1">
    <font>
      <sz val="11"/>
      <color theme="1"/>
      <name val="Calibri"/>
      <family val="2"/>
      <charset val="1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/>
    <xf numFmtId="164" fontId="2" fillId="3" borderId="1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3" fontId="2" fillId="5" borderId="0" xfId="0" applyNumberFormat="1" applyFont="1" applyFill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5" borderId="0" xfId="0" applyNumberFormat="1" applyFont="1" applyFill="1" applyAlignment="1">
      <alignment horizontal="center" vertical="center" wrapText="1"/>
    </xf>
    <xf numFmtId="164" fontId="2" fillId="5" borderId="3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3" fontId="2" fillId="5" borderId="7" xfId="0" applyNumberFormat="1" applyFont="1" applyFill="1" applyBorder="1" applyAlignment="1">
      <alignment horizontal="center" vertical="center" wrapText="1"/>
    </xf>
    <xf numFmtId="3" fontId="2" fillId="5" borderId="8" xfId="0" applyNumberFormat="1" applyFont="1" applyFill="1" applyBorder="1" applyAlignment="1">
      <alignment horizontal="center" vertical="center" wrapText="1"/>
    </xf>
    <xf numFmtId="3" fontId="2" fillId="5" borderId="9" xfId="0" applyNumberFormat="1" applyFont="1" applyFill="1" applyBorder="1" applyAlignment="1">
      <alignment horizontal="center" vertical="center" wrapText="1"/>
    </xf>
    <xf numFmtId="164" fontId="2" fillId="5" borderId="8" xfId="0" applyNumberFormat="1" applyFont="1" applyFill="1" applyBorder="1" applyAlignment="1">
      <alignment horizontal="center" vertical="center" wrapText="1"/>
    </xf>
    <xf numFmtId="164" fontId="2" fillId="5" borderId="7" xfId="0" applyNumberFormat="1" applyFont="1" applyFill="1" applyBorder="1" applyAlignment="1">
      <alignment horizontal="center" vertical="center" wrapText="1"/>
    </xf>
    <xf numFmtId="164" fontId="2" fillId="5" borderId="9" xfId="0" applyNumberFormat="1" applyFont="1" applyFill="1" applyBorder="1" applyAlignment="1">
      <alignment horizontal="center" vertical="center" wrapText="1"/>
    </xf>
    <xf numFmtId="3" fontId="4" fillId="6" borderId="10" xfId="0" applyNumberFormat="1" applyFont="1" applyFill="1" applyBorder="1" applyAlignment="1">
      <alignment horizontal="center" vertical="center" wrapText="1"/>
    </xf>
    <xf numFmtId="164" fontId="4" fillId="6" borderId="11" xfId="0" applyNumberFormat="1" applyFont="1" applyFill="1" applyBorder="1" applyAlignment="1">
      <alignment horizontal="center" vertical="center" wrapText="1"/>
    </xf>
    <xf numFmtId="164" fontId="4" fillId="6" borderId="10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3" fontId="4" fillId="2" borderId="3" xfId="0" applyNumberFormat="1" applyFont="1" applyFill="1" applyBorder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7" xfId="0" applyNumberFormat="1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textRotation="90" wrapText="1"/>
    </xf>
    <xf numFmtId="3" fontId="4" fillId="2" borderId="8" xfId="0" applyNumberFormat="1" applyFont="1" applyFill="1" applyBorder="1" applyAlignment="1">
      <alignment horizontal="center" vertical="center" wrapText="1"/>
    </xf>
    <xf numFmtId="3" fontId="4" fillId="2" borderId="9" xfId="0" applyNumberFormat="1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textRotation="90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center" vertical="center" wrapText="1"/>
    </xf>
    <xf numFmtId="164" fontId="4" fillId="4" borderId="6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3" fontId="4" fillId="4" borderId="3" xfId="0" applyNumberFormat="1" applyFont="1" applyFill="1" applyBorder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4" fillId="4" borderId="3" xfId="0" applyNumberFormat="1" applyFont="1" applyFill="1" applyBorder="1" applyAlignment="1">
      <alignment horizontal="center" vertical="center" wrapText="1"/>
    </xf>
    <xf numFmtId="164" fontId="4" fillId="4" borderId="0" xfId="0" applyNumberFormat="1" applyFont="1" applyFill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4" fillId="7" borderId="13" xfId="0" applyNumberFormat="1" applyFont="1" applyFill="1" applyBorder="1" applyAlignment="1">
      <alignment horizontal="center" vertical="center" wrapText="1"/>
    </xf>
    <xf numFmtId="164" fontId="4" fillId="7" borderId="13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166" fontId="2" fillId="5" borderId="0" xfId="0" applyNumberFormat="1" applyFont="1" applyFill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textRotation="90" wrapText="1"/>
    </xf>
    <xf numFmtId="0" fontId="5" fillId="7" borderId="13" xfId="0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49" fontId="3" fillId="3" borderId="14" xfId="0" applyNumberFormat="1" applyFont="1" applyFill="1" applyBorder="1" applyAlignment="1">
      <alignment horizontal="center" vertical="center" wrapText="1"/>
    </xf>
    <xf numFmtId="49" fontId="3" fillId="3" borderId="15" xfId="0" applyNumberFormat="1" applyFont="1" applyFill="1" applyBorder="1" applyAlignment="1">
      <alignment horizontal="center" vertical="center" wrapText="1"/>
    </xf>
    <xf numFmtId="164" fontId="7" fillId="3" borderId="15" xfId="0" applyNumberFormat="1" applyFont="1" applyFill="1" applyBorder="1" applyAlignment="1">
      <alignment horizontal="center" vertical="center" wrapText="1"/>
    </xf>
    <xf numFmtId="164" fontId="3" fillId="3" borderId="15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textRotation="90" wrapText="1"/>
    </xf>
    <xf numFmtId="0" fontId="5" fillId="6" borderId="13" xfId="0" applyFont="1" applyFill="1" applyBorder="1" applyAlignment="1">
      <alignment horizontal="center" vertical="center" textRotation="90" wrapText="1"/>
    </xf>
    <xf numFmtId="49" fontId="3" fillId="4" borderId="14" xfId="0" applyNumberFormat="1" applyFont="1" applyFill="1" applyBorder="1" applyAlignment="1">
      <alignment horizontal="center" vertical="center" wrapText="1"/>
    </xf>
    <xf numFmtId="49" fontId="3" fillId="4" borderId="15" xfId="0" applyNumberFormat="1" applyFont="1" applyFill="1" applyBorder="1" applyAlignment="1">
      <alignment horizontal="center" vertical="center" wrapText="1"/>
    </xf>
    <xf numFmtId="3" fontId="6" fillId="4" borderId="15" xfId="0" applyNumberFormat="1" applyFont="1" applyFill="1" applyBorder="1" applyAlignment="1">
      <alignment horizontal="center" vertical="center" wrapText="1"/>
    </xf>
    <xf numFmtId="3" fontId="3" fillId="4" borderId="15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textRotation="90" wrapText="1"/>
    </xf>
    <xf numFmtId="0" fontId="5" fillId="7" borderId="13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ti\Desktop\Nitin%20DGCA\Form%20A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1" transitionEvaluation="1" transitionEntry="1" codeName="Sheet12"/>
  <dimension ref="A1:Q455"/>
  <sheetViews>
    <sheetView showGridLines="0" tabSelected="1" view="pageBreakPreview" topLeftCell="A21" zoomScale="85" zoomScaleNormal="85" zoomScaleSheetLayoutView="85" workbookViewId="0">
      <selection activeCell="I27" sqref="I27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3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3.42578125" customWidth="1"/>
    <col min="14" max="14" width="9.140625" customWidth="1"/>
    <col min="15" max="15" width="12.85546875" customWidth="1"/>
    <col min="16" max="16" width="14.85546875" customWidth="1"/>
    <col min="17" max="17" width="6.7109375" customWidth="1"/>
  </cols>
  <sheetData>
    <row r="1" spans="1:17" ht="46.5" customHeight="1" x14ac:dyDescent="0.25">
      <c r="A1" s="72" t="s">
        <v>39</v>
      </c>
      <c r="B1" s="73"/>
      <c r="C1" s="74" t="s">
        <v>37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5"/>
      <c r="P1" s="75"/>
      <c r="Q1" s="76"/>
    </row>
    <row r="2" spans="1:17" ht="33" customHeight="1" x14ac:dyDescent="0.25">
      <c r="A2" s="77" t="s">
        <v>0</v>
      </c>
      <c r="B2" s="79" t="s">
        <v>1</v>
      </c>
      <c r="C2" s="80"/>
      <c r="D2" s="81"/>
      <c r="E2" s="82" t="s">
        <v>2</v>
      </c>
      <c r="F2" s="82" t="s">
        <v>3</v>
      </c>
      <c r="G2" s="82" t="s">
        <v>4</v>
      </c>
      <c r="H2" s="82" t="s">
        <v>5</v>
      </c>
      <c r="I2" s="79" t="s">
        <v>6</v>
      </c>
      <c r="J2" s="80"/>
      <c r="K2" s="81"/>
      <c r="L2" s="79" t="s">
        <v>7</v>
      </c>
      <c r="M2" s="80"/>
      <c r="N2" s="80"/>
      <c r="O2" s="81"/>
      <c r="P2" s="82" t="s">
        <v>8</v>
      </c>
      <c r="Q2" s="82" t="s">
        <v>9</v>
      </c>
    </row>
    <row r="3" spans="1:17" ht="155.25" customHeight="1" x14ac:dyDescent="0.25">
      <c r="A3" s="78"/>
      <c r="B3" s="34" t="s">
        <v>10</v>
      </c>
      <c r="C3" s="34" t="s">
        <v>11</v>
      </c>
      <c r="D3" s="34" t="s">
        <v>12</v>
      </c>
      <c r="E3" s="83"/>
      <c r="F3" s="83"/>
      <c r="G3" s="83"/>
      <c r="H3" s="83"/>
      <c r="I3" s="34" t="s">
        <v>13</v>
      </c>
      <c r="J3" s="34" t="s">
        <v>14</v>
      </c>
      <c r="K3" s="34" t="s">
        <v>15</v>
      </c>
      <c r="L3" s="61" t="s">
        <v>16</v>
      </c>
      <c r="M3" s="61" t="s">
        <v>17</v>
      </c>
      <c r="N3" s="61" t="s">
        <v>18</v>
      </c>
      <c r="O3" s="61" t="s">
        <v>19</v>
      </c>
      <c r="P3" s="83"/>
      <c r="Q3" s="83"/>
    </row>
    <row r="4" spans="1:17" ht="23.1" customHeight="1" x14ac:dyDescent="0.25">
      <c r="A4" s="14" t="s">
        <v>20</v>
      </c>
      <c r="B4" s="63">
        <v>19373</v>
      </c>
      <c r="C4" s="64">
        <v>93353.640333333402</v>
      </c>
      <c r="D4" s="65">
        <v>62070.103222374397</v>
      </c>
      <c r="E4" s="63">
        <v>3397536</v>
      </c>
      <c r="F4" s="64">
        <v>11773333.5754067</v>
      </c>
      <c r="G4" s="64">
        <v>13870913.6230985</v>
      </c>
      <c r="H4" s="2">
        <v>84.88</v>
      </c>
      <c r="I4" s="5">
        <v>52721.320793400002</v>
      </c>
      <c r="J4" s="5">
        <v>263.72399999999999</v>
      </c>
      <c r="K4" s="5">
        <v>52985.044793399997</v>
      </c>
      <c r="L4" s="6">
        <v>1111437.7617357699</v>
      </c>
      <c r="M4" s="5">
        <v>291052.696535722</v>
      </c>
      <c r="N4" s="5">
        <v>1763.9657259000001</v>
      </c>
      <c r="O4" s="7">
        <v>1404254.4239973901</v>
      </c>
      <c r="P4" s="6">
        <v>1607321.5046772901</v>
      </c>
      <c r="Q4" s="7">
        <v>87.37</v>
      </c>
    </row>
    <row r="5" spans="1:17" ht="23.1" customHeight="1" x14ac:dyDescent="0.25">
      <c r="A5" s="9" t="s">
        <v>21</v>
      </c>
      <c r="B5" s="9">
        <v>16946</v>
      </c>
      <c r="C5" s="8">
        <v>81574.273333333302</v>
      </c>
      <c r="D5" s="10">
        <v>54521.5283462355</v>
      </c>
      <c r="E5" s="9">
        <v>2852895</v>
      </c>
      <c r="F5" s="8">
        <v>9941884.4020728506</v>
      </c>
      <c r="G5" s="8">
        <v>12195228.6895114</v>
      </c>
      <c r="H5" s="11">
        <v>81.52</v>
      </c>
      <c r="I5" s="12">
        <v>56961.3544377</v>
      </c>
      <c r="J5" s="12">
        <v>264.83539999999999</v>
      </c>
      <c r="K5" s="12">
        <v>57226.189837700003</v>
      </c>
      <c r="L5" s="13">
        <v>935453.23239546304</v>
      </c>
      <c r="M5" s="12">
        <v>334633.626752963</v>
      </c>
      <c r="N5" s="12">
        <v>1754.4978597193401</v>
      </c>
      <c r="O5" s="11">
        <v>1271841.3570081501</v>
      </c>
      <c r="P5" s="13">
        <v>1470163.5960197099</v>
      </c>
      <c r="Q5" s="11">
        <v>86.51</v>
      </c>
    </row>
    <row r="6" spans="1:17" ht="23.1" customHeight="1" x14ac:dyDescent="0.25">
      <c r="A6" s="14" t="s">
        <v>22</v>
      </c>
      <c r="B6" s="14">
        <v>11284</v>
      </c>
      <c r="C6" s="53">
        <v>60243.926666666703</v>
      </c>
      <c r="D6" s="15">
        <v>39983.049298076898</v>
      </c>
      <c r="E6" s="14">
        <v>1844976</v>
      </c>
      <c r="F6" s="53">
        <v>7618010.3940942697</v>
      </c>
      <c r="G6" s="53">
        <v>9187117.9489582703</v>
      </c>
      <c r="H6" s="2">
        <v>82.92</v>
      </c>
      <c r="I6" s="16">
        <v>64788.765554400001</v>
      </c>
      <c r="J6" s="16">
        <v>248.53639999999999</v>
      </c>
      <c r="K6" s="16">
        <v>65037.301954399998</v>
      </c>
      <c r="L6" s="17">
        <v>751116.40828468604</v>
      </c>
      <c r="M6" s="16">
        <v>447149.30855784001</v>
      </c>
      <c r="N6" s="16">
        <v>2118.7052861000002</v>
      </c>
      <c r="O6" s="2">
        <v>1200384.4221286301</v>
      </c>
      <c r="P6" s="17">
        <v>1368097.2386259199</v>
      </c>
      <c r="Q6" s="2">
        <v>87.74</v>
      </c>
    </row>
    <row r="7" spans="1:17" ht="23.1" customHeight="1" x14ac:dyDescent="0.25">
      <c r="A7" s="9" t="s">
        <v>23</v>
      </c>
      <c r="B7" s="9">
        <v>11508</v>
      </c>
      <c r="C7" s="8">
        <v>61390.703333333397</v>
      </c>
      <c r="D7" s="10">
        <v>41001.442760323</v>
      </c>
      <c r="E7" s="9">
        <v>1824936</v>
      </c>
      <c r="F7" s="8">
        <v>7130963.5534041096</v>
      </c>
      <c r="G7" s="8">
        <v>9447370.4673489593</v>
      </c>
      <c r="H7" s="11">
        <v>75.48</v>
      </c>
      <c r="I7" s="12">
        <v>23903.579802600001</v>
      </c>
      <c r="J7" s="12">
        <v>322.53859999999997</v>
      </c>
      <c r="K7" s="12">
        <v>24226.118402600001</v>
      </c>
      <c r="L7" s="13">
        <v>689846.29281786596</v>
      </c>
      <c r="M7" s="12">
        <v>150906.86086180201</v>
      </c>
      <c r="N7" s="12">
        <v>2781.8550519999999</v>
      </c>
      <c r="O7" s="11">
        <v>843535.00873166905</v>
      </c>
      <c r="P7" s="13">
        <v>1043107.6530660799</v>
      </c>
      <c r="Q7" s="11">
        <v>80.87</v>
      </c>
    </row>
    <row r="8" spans="1:17" ht="30" customHeight="1" x14ac:dyDescent="0.25">
      <c r="A8" s="14" t="s">
        <v>24</v>
      </c>
      <c r="B8" s="14">
        <v>13995</v>
      </c>
      <c r="C8" s="53">
        <v>69243.153300000005</v>
      </c>
      <c r="D8" s="15">
        <v>46151.267979999997</v>
      </c>
      <c r="E8" s="14">
        <v>2258302</v>
      </c>
      <c r="F8" s="53">
        <v>7945144.4040799998</v>
      </c>
      <c r="G8" s="53">
        <v>10392543.257750001</v>
      </c>
      <c r="H8" s="2">
        <v>76.45</v>
      </c>
      <c r="I8" s="16">
        <v>26675.011741300001</v>
      </c>
      <c r="J8" s="16">
        <v>340.17129999999997</v>
      </c>
      <c r="K8" s="16">
        <v>27015.183041299999</v>
      </c>
      <c r="L8" s="17">
        <v>749462.15416899999</v>
      </c>
      <c r="M8" s="16">
        <v>158426.55242430899</v>
      </c>
      <c r="N8" s="16">
        <v>2712.9473278</v>
      </c>
      <c r="O8" s="2">
        <v>910601.65392110799</v>
      </c>
      <c r="P8" s="17">
        <v>1130604.5611709999</v>
      </c>
      <c r="Q8" s="2">
        <v>80.540000000000006</v>
      </c>
    </row>
    <row r="9" spans="1:17" ht="23.1" customHeight="1" x14ac:dyDescent="0.25">
      <c r="A9" s="9" t="s">
        <v>25</v>
      </c>
      <c r="B9" s="9">
        <v>14662</v>
      </c>
      <c r="C9" s="8">
        <v>70091.55</v>
      </c>
      <c r="D9" s="10">
        <v>47063.994870000002</v>
      </c>
      <c r="E9" s="9">
        <v>2332219</v>
      </c>
      <c r="F9" s="8">
        <v>7876038.3229999999</v>
      </c>
      <c r="G9" s="8">
        <v>10371925.374</v>
      </c>
      <c r="H9" s="11">
        <v>75.94</v>
      </c>
      <c r="I9" s="12">
        <v>26439.247464</v>
      </c>
      <c r="J9" s="12">
        <v>381.36970000000002</v>
      </c>
      <c r="K9" s="58">
        <v>26820.617163999999</v>
      </c>
      <c r="L9" s="13">
        <v>729669.16084000003</v>
      </c>
      <c r="M9" s="12">
        <v>149730.18405899999</v>
      </c>
      <c r="N9" s="12">
        <v>3013.8064359999998</v>
      </c>
      <c r="O9" s="11">
        <v>882413.15133499994</v>
      </c>
      <c r="P9" s="13">
        <v>1145177.947964</v>
      </c>
      <c r="Q9" s="11">
        <v>77.05</v>
      </c>
    </row>
    <row r="10" spans="1:17" ht="23.1" customHeight="1" x14ac:dyDescent="0.25">
      <c r="A10" s="14" t="s">
        <v>26</v>
      </c>
      <c r="B10" s="14">
        <v>15949</v>
      </c>
      <c r="C10" s="53">
        <v>77191.013332999995</v>
      </c>
      <c r="D10" s="15">
        <v>51127.616479999997</v>
      </c>
      <c r="E10" s="14">
        <v>2559697</v>
      </c>
      <c r="F10" s="53">
        <v>8656522.9729299992</v>
      </c>
      <c r="G10" s="53">
        <v>11220718.846480001</v>
      </c>
      <c r="H10" s="2">
        <v>77.150000000000006</v>
      </c>
      <c r="I10" s="16">
        <v>26967.520632100001</v>
      </c>
      <c r="J10" s="16">
        <v>409.92469999999997</v>
      </c>
      <c r="K10" s="59">
        <v>27377.4453321</v>
      </c>
      <c r="L10" s="17">
        <v>799892.15773199999</v>
      </c>
      <c r="M10" s="16">
        <v>147630.37373799999</v>
      </c>
      <c r="N10" s="16">
        <v>3257.9745097999898</v>
      </c>
      <c r="O10" s="2">
        <v>950780.50597980001</v>
      </c>
      <c r="P10" s="17">
        <v>1282235.3604009999</v>
      </c>
      <c r="Q10" s="2">
        <v>74.150000000000006</v>
      </c>
    </row>
    <row r="11" spans="1:17" ht="23.1" customHeight="1" x14ac:dyDescent="0.25">
      <c r="A11" s="9" t="s">
        <v>27</v>
      </c>
      <c r="B11" s="9">
        <v>16636</v>
      </c>
      <c r="C11" s="8">
        <v>80423.716666666704</v>
      </c>
      <c r="D11" s="10">
        <v>53350.16</v>
      </c>
      <c r="E11" s="9">
        <v>2622794</v>
      </c>
      <c r="F11" s="8">
        <v>8894022.4890000001</v>
      </c>
      <c r="G11" s="8">
        <v>11684812.23</v>
      </c>
      <c r="H11" s="12">
        <v>76.12</v>
      </c>
      <c r="I11" s="13">
        <v>27661.124149200001</v>
      </c>
      <c r="J11" s="12">
        <v>444.1626</v>
      </c>
      <c r="K11" s="58">
        <v>28105.2867492</v>
      </c>
      <c r="L11" s="13">
        <v>822440.42214000004</v>
      </c>
      <c r="M11" s="12">
        <v>151536.48417476</v>
      </c>
      <c r="N11" s="12">
        <v>3164.7858295000001</v>
      </c>
      <c r="O11" s="12">
        <v>977141.69214426004</v>
      </c>
      <c r="P11" s="13">
        <v>1338934.0766759999</v>
      </c>
      <c r="Q11" s="11">
        <v>72.98</v>
      </c>
    </row>
    <row r="12" spans="1:17" ht="23.1" customHeight="1" x14ac:dyDescent="0.25">
      <c r="A12" s="14" t="s">
        <v>28</v>
      </c>
      <c r="B12" s="14"/>
      <c r="C12" s="53"/>
      <c r="D12" s="15"/>
      <c r="E12" s="14"/>
      <c r="F12" s="53"/>
      <c r="G12" s="53"/>
      <c r="H12" s="2"/>
      <c r="I12" s="16"/>
      <c r="J12" s="16"/>
      <c r="K12" s="59"/>
      <c r="L12" s="17"/>
      <c r="M12" s="16"/>
      <c r="N12" s="16"/>
      <c r="O12" s="2"/>
      <c r="P12" s="17"/>
      <c r="Q12" s="2"/>
    </row>
    <row r="13" spans="1:17" ht="23.1" customHeight="1" x14ac:dyDescent="0.25">
      <c r="A13" s="9" t="s">
        <v>29</v>
      </c>
      <c r="B13" s="9"/>
      <c r="C13" s="8"/>
      <c r="D13" s="10"/>
      <c r="E13" s="9"/>
      <c r="F13" s="8"/>
      <c r="G13" s="8"/>
      <c r="H13" s="11"/>
      <c r="I13" s="12"/>
      <c r="J13" s="12"/>
      <c r="K13" s="12"/>
      <c r="L13" s="13"/>
      <c r="M13" s="12"/>
      <c r="N13" s="12"/>
      <c r="O13" s="11"/>
      <c r="P13" s="13"/>
      <c r="Q13" s="11"/>
    </row>
    <row r="14" spans="1:17" ht="23.1" customHeight="1" x14ac:dyDescent="0.25">
      <c r="A14" s="14" t="s">
        <v>30</v>
      </c>
      <c r="B14" s="14"/>
      <c r="C14" s="53"/>
      <c r="D14" s="15"/>
      <c r="E14" s="14"/>
      <c r="F14" s="53"/>
      <c r="G14" s="53"/>
      <c r="H14" s="2"/>
      <c r="I14" s="16"/>
      <c r="J14" s="16"/>
      <c r="K14" s="16"/>
      <c r="L14" s="17"/>
      <c r="M14" s="16"/>
      <c r="N14" s="16"/>
      <c r="O14" s="2"/>
      <c r="P14" s="17"/>
      <c r="Q14" s="2"/>
    </row>
    <row r="15" spans="1:17" ht="23.1" customHeight="1" x14ac:dyDescent="0.25">
      <c r="A15" s="9" t="s">
        <v>31</v>
      </c>
      <c r="B15" s="18"/>
      <c r="C15" s="19"/>
      <c r="D15" s="20"/>
      <c r="E15" s="18"/>
      <c r="F15" s="19"/>
      <c r="G15" s="19"/>
      <c r="H15" s="11"/>
      <c r="I15" s="21"/>
      <c r="J15" s="21"/>
      <c r="K15" s="21"/>
      <c r="L15" s="22"/>
      <c r="M15" s="21"/>
      <c r="N15" s="21"/>
      <c r="O15" s="23"/>
      <c r="P15" s="22"/>
      <c r="Q15" s="23"/>
    </row>
    <row r="16" spans="1:17" ht="23.1" customHeight="1" x14ac:dyDescent="0.25">
      <c r="A16" s="60" t="s">
        <v>32</v>
      </c>
      <c r="B16" s="24">
        <f t="shared" ref="B16:G16" si="0">SUM(B4:B15)</f>
        <v>120353</v>
      </c>
      <c r="C16" s="24">
        <f t="shared" si="0"/>
        <v>593511.97696633358</v>
      </c>
      <c r="D16" s="24">
        <f t="shared" si="0"/>
        <v>395269.16295700986</v>
      </c>
      <c r="E16" s="24">
        <f t="shared" si="0"/>
        <v>19693355</v>
      </c>
      <c r="F16" s="24">
        <f t="shared" si="0"/>
        <v>69835920.113987923</v>
      </c>
      <c r="G16" s="24">
        <f t="shared" si="0"/>
        <v>88370630.437147141</v>
      </c>
      <c r="H16" s="25">
        <f t="shared" ref="H16" si="1">IFERROR(F16/G16*100," ")</f>
        <v>79.026164879131571</v>
      </c>
      <c r="I16" s="26">
        <f>SUM(I4:I15)</f>
        <v>306117.92457469995</v>
      </c>
      <c r="J16" s="26">
        <f>SUM(J4:J15)</f>
        <v>2675.2626999999998</v>
      </c>
      <c r="K16" s="26">
        <f t="shared" ref="K16" si="2">IF(AND(ISBLANK(I16),ISBLANK(J16))=TRUE,"",I16+J16)</f>
        <v>308793.18727469997</v>
      </c>
      <c r="L16" s="24">
        <f>SUM(L4:L15)</f>
        <v>6589317.5901147854</v>
      </c>
      <c r="M16" s="24">
        <f>SUM(M4:M15)</f>
        <v>1831066.0871043962</v>
      </c>
      <c r="N16" s="26">
        <f>SUM(N4:N15)</f>
        <v>20568.538026819333</v>
      </c>
      <c r="O16" s="26">
        <f t="shared" ref="O16" si="3">IF(AND(ISBLANK(L16),ISBLANK(M16),ISBLANK(N16))=TRUE,"",L16+M16+N16)</f>
        <v>8440952.2152460013</v>
      </c>
      <c r="P16" s="26">
        <f>SUM(P4:P15)</f>
        <v>10385641.938600998</v>
      </c>
      <c r="Q16" s="26">
        <f t="shared" ref="Q16" si="4">IFERROR(O16/P16*100," ")</f>
        <v>81.27520922777974</v>
      </c>
    </row>
    <row r="17" spans="1:17" ht="20.100000000000001" customHeight="1" x14ac:dyDescent="0.25">
      <c r="A17" s="69" t="s">
        <v>36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1"/>
    </row>
    <row r="18" spans="1:17" ht="15.75" x14ac:dyDescent="0.25">
      <c r="A18" s="66" t="s">
        <v>33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8"/>
    </row>
    <row r="19" spans="1:17" ht="15.75" x14ac:dyDescent="0.25">
      <c r="A19" s="66" t="s">
        <v>34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8"/>
    </row>
    <row r="20" spans="1:17" ht="51.75" customHeight="1" x14ac:dyDescent="0.25">
      <c r="A20" s="84" t="s">
        <v>39</v>
      </c>
      <c r="B20" s="85"/>
      <c r="C20" s="86" t="s">
        <v>38</v>
      </c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87"/>
      <c r="Q20" s="88"/>
    </row>
    <row r="21" spans="1:17" ht="33" customHeight="1" x14ac:dyDescent="0.25">
      <c r="A21" s="89" t="s">
        <v>0</v>
      </c>
      <c r="B21" s="91" t="s">
        <v>1</v>
      </c>
      <c r="C21" s="92"/>
      <c r="D21" s="93"/>
      <c r="E21" s="94" t="s">
        <v>2</v>
      </c>
      <c r="F21" s="94" t="s">
        <v>3</v>
      </c>
      <c r="G21" s="94" t="s">
        <v>4</v>
      </c>
      <c r="H21" s="94" t="s">
        <v>5</v>
      </c>
      <c r="I21" s="91" t="s">
        <v>6</v>
      </c>
      <c r="J21" s="92"/>
      <c r="K21" s="93"/>
      <c r="L21" s="91" t="s">
        <v>7</v>
      </c>
      <c r="M21" s="92"/>
      <c r="N21" s="92"/>
      <c r="O21" s="93"/>
      <c r="P21" s="94" t="s">
        <v>8</v>
      </c>
      <c r="Q21" s="94" t="s">
        <v>9</v>
      </c>
    </row>
    <row r="22" spans="1:17" ht="150.75" customHeight="1" x14ac:dyDescent="0.25">
      <c r="A22" s="90"/>
      <c r="B22" s="40" t="s">
        <v>10</v>
      </c>
      <c r="C22" s="40" t="s">
        <v>11</v>
      </c>
      <c r="D22" s="40" t="s">
        <v>12</v>
      </c>
      <c r="E22" s="95"/>
      <c r="F22" s="95"/>
      <c r="G22" s="95"/>
      <c r="H22" s="95"/>
      <c r="I22" s="40" t="s">
        <v>13</v>
      </c>
      <c r="J22" s="40" t="s">
        <v>14</v>
      </c>
      <c r="K22" s="40" t="s">
        <v>15</v>
      </c>
      <c r="L22" s="40" t="s">
        <v>16</v>
      </c>
      <c r="M22" s="40" t="s">
        <v>17</v>
      </c>
      <c r="N22" s="40" t="s">
        <v>18</v>
      </c>
      <c r="O22" s="40" t="s">
        <v>19</v>
      </c>
      <c r="P22" s="95"/>
      <c r="Q22" s="95"/>
    </row>
    <row r="23" spans="1:17" ht="23.1" customHeight="1" x14ac:dyDescent="0.25">
      <c r="A23" s="3" t="s">
        <v>20</v>
      </c>
      <c r="B23" s="41">
        <v>193</v>
      </c>
      <c r="C23" s="42">
        <v>630.75003000000004</v>
      </c>
      <c r="D23" s="43">
        <v>415.87341400000003</v>
      </c>
      <c r="E23" s="41">
        <v>406</v>
      </c>
      <c r="F23" s="42">
        <v>1407.6020000000001</v>
      </c>
      <c r="G23" s="42">
        <v>3827.5680000000002</v>
      </c>
      <c r="H23" s="42">
        <v>36.78</v>
      </c>
      <c r="I23" s="45">
        <v>2469.5882999999999</v>
      </c>
      <c r="J23" s="46">
        <v>0</v>
      </c>
      <c r="K23" s="46">
        <v>2469.5882999999999</v>
      </c>
      <c r="L23" s="41">
        <v>105.57015</v>
      </c>
      <c r="M23" s="42">
        <v>5599.0109140000004</v>
      </c>
      <c r="N23" s="46">
        <v>0</v>
      </c>
      <c r="O23" s="43">
        <v>5704.581064</v>
      </c>
      <c r="P23" s="42">
        <v>9510.2196760000006</v>
      </c>
      <c r="Q23" s="44">
        <v>59.98</v>
      </c>
    </row>
    <row r="24" spans="1:17" ht="23.1" customHeight="1" x14ac:dyDescent="0.25">
      <c r="A24" s="4" t="s">
        <v>21</v>
      </c>
      <c r="B24" s="28">
        <v>211</v>
      </c>
      <c r="C24" s="29">
        <v>676.74</v>
      </c>
      <c r="D24" s="32">
        <v>440.35524299999997</v>
      </c>
      <c r="E24" s="28">
        <v>1809</v>
      </c>
      <c r="F24" s="29">
        <v>4230.8670000000002</v>
      </c>
      <c r="G24" s="29">
        <v>6422.71</v>
      </c>
      <c r="H24" s="32">
        <v>65.87</v>
      </c>
      <c r="I24" s="30">
        <v>2786.5055109999998</v>
      </c>
      <c r="J24" s="31">
        <v>0</v>
      </c>
      <c r="K24" s="31">
        <v>2786.5055109999998</v>
      </c>
      <c r="L24" s="28">
        <v>338.880585</v>
      </c>
      <c r="M24" s="29">
        <v>6341.4345967999998</v>
      </c>
      <c r="N24" s="31">
        <v>0</v>
      </c>
      <c r="O24" s="32">
        <v>6680.3151817999997</v>
      </c>
      <c r="P24" s="29">
        <v>9957.2291370000003</v>
      </c>
      <c r="Q24" s="27">
        <v>67.09</v>
      </c>
    </row>
    <row r="25" spans="1:17" ht="23.1" customHeight="1" x14ac:dyDescent="0.25">
      <c r="A25" s="3" t="s">
        <v>22</v>
      </c>
      <c r="B25" s="47">
        <v>138</v>
      </c>
      <c r="C25" s="48">
        <v>140.636666666667</v>
      </c>
      <c r="D25" s="49">
        <v>263.46178200000003</v>
      </c>
      <c r="E25" s="47">
        <v>1651</v>
      </c>
      <c r="F25" s="48">
        <v>3983.7280000000001</v>
      </c>
      <c r="G25" s="48">
        <v>7108.84</v>
      </c>
      <c r="H25" s="49">
        <v>56.04</v>
      </c>
      <c r="I25" s="51">
        <v>1376.12111</v>
      </c>
      <c r="J25" s="52">
        <v>0</v>
      </c>
      <c r="K25" s="52">
        <v>1376.12111</v>
      </c>
      <c r="L25" s="47">
        <v>313.93356</v>
      </c>
      <c r="M25" s="48">
        <v>2753.6137170000002</v>
      </c>
      <c r="N25" s="52">
        <v>0</v>
      </c>
      <c r="O25" s="49">
        <v>3067.5472770000001</v>
      </c>
      <c r="P25" s="48">
        <v>6077.5325709999997</v>
      </c>
      <c r="Q25" s="50">
        <v>50.47</v>
      </c>
    </row>
    <row r="26" spans="1:17" ht="23.1" customHeight="1" x14ac:dyDescent="0.25">
      <c r="A26" s="4" t="s">
        <v>23</v>
      </c>
      <c r="B26" s="28">
        <v>151</v>
      </c>
      <c r="C26" s="29">
        <v>490.100030333333</v>
      </c>
      <c r="D26" s="32">
        <v>344.84100000000001</v>
      </c>
      <c r="E26" s="28">
        <v>8384</v>
      </c>
      <c r="F26" s="29">
        <v>30782.788</v>
      </c>
      <c r="G26" s="29">
        <v>32737.269</v>
      </c>
      <c r="H26" s="32">
        <v>94.03</v>
      </c>
      <c r="I26" s="30">
        <v>1233.85898</v>
      </c>
      <c r="J26" s="31">
        <v>0</v>
      </c>
      <c r="K26" s="31">
        <v>1233.85898</v>
      </c>
      <c r="L26" s="28">
        <v>2699.2075749999999</v>
      </c>
      <c r="M26" s="29">
        <v>1973.8858760000001</v>
      </c>
      <c r="N26" s="31">
        <v>0</v>
      </c>
      <c r="O26" s="32">
        <v>4673.0934509999997</v>
      </c>
      <c r="P26" s="29">
        <v>7560.904657</v>
      </c>
      <c r="Q26" s="27">
        <v>61.81</v>
      </c>
    </row>
    <row r="27" spans="1:17" ht="30" customHeight="1" x14ac:dyDescent="0.25">
      <c r="A27" s="3" t="s">
        <v>24</v>
      </c>
      <c r="B27" s="47">
        <v>203</v>
      </c>
      <c r="C27" s="48">
        <v>779.03303333333304</v>
      </c>
      <c r="D27" s="49">
        <v>552.44399999999996</v>
      </c>
      <c r="E27" s="47">
        <v>17310</v>
      </c>
      <c r="F27" s="48">
        <v>62343.159</v>
      </c>
      <c r="G27" s="48">
        <v>65929.774999999994</v>
      </c>
      <c r="H27" s="49">
        <v>94.56</v>
      </c>
      <c r="I27" s="51">
        <v>1124.7669800000001</v>
      </c>
      <c r="J27" s="52">
        <v>0</v>
      </c>
      <c r="K27" s="52">
        <v>1124.7669800000001</v>
      </c>
      <c r="L27" s="47">
        <v>5865.9508900000001</v>
      </c>
      <c r="M27" s="48">
        <v>1783.574034</v>
      </c>
      <c r="N27" s="52">
        <v>0</v>
      </c>
      <c r="O27" s="49">
        <v>7649.5249240000003</v>
      </c>
      <c r="P27" s="48">
        <v>11806.709989999999</v>
      </c>
      <c r="Q27" s="50">
        <v>64.790000000000006</v>
      </c>
    </row>
    <row r="28" spans="1:17" ht="23.1" customHeight="1" x14ac:dyDescent="0.25">
      <c r="A28" s="4" t="s">
        <v>25</v>
      </c>
      <c r="B28" s="28">
        <v>328</v>
      </c>
      <c r="C28" s="29">
        <v>1214.57</v>
      </c>
      <c r="D28" s="32">
        <v>651.07010000000002</v>
      </c>
      <c r="E28" s="28">
        <v>31055</v>
      </c>
      <c r="F28" s="29">
        <v>90190.580199999997</v>
      </c>
      <c r="G28" s="29">
        <v>96589.963900000002</v>
      </c>
      <c r="H28" s="32">
        <v>93.37</v>
      </c>
      <c r="I28" s="31">
        <v>1698.75938</v>
      </c>
      <c r="J28" s="31">
        <v>0</v>
      </c>
      <c r="K28" s="31">
        <v>1698.75938</v>
      </c>
      <c r="L28" s="28">
        <v>8768.5010899999997</v>
      </c>
      <c r="M28" s="29">
        <v>3004.4639999999999</v>
      </c>
      <c r="N28" s="31">
        <v>0</v>
      </c>
      <c r="O28" s="32">
        <v>11772.96509</v>
      </c>
      <c r="P28" s="29">
        <v>16591.575629999999</v>
      </c>
      <c r="Q28" s="27">
        <v>70.959999999999994</v>
      </c>
    </row>
    <row r="29" spans="1:17" ht="23.1" customHeight="1" x14ac:dyDescent="0.25">
      <c r="A29" s="3" t="s">
        <v>26</v>
      </c>
      <c r="B29" s="47">
        <v>101</v>
      </c>
      <c r="C29" s="48">
        <v>272.78333300000003</v>
      </c>
      <c r="D29" s="49">
        <v>165.76400000000001</v>
      </c>
      <c r="E29" s="47">
        <v>732</v>
      </c>
      <c r="F29" s="48">
        <v>2282.7420000000002</v>
      </c>
      <c r="G29" s="48">
        <v>2320.1640000000002</v>
      </c>
      <c r="H29" s="49">
        <v>98.39</v>
      </c>
      <c r="I29" s="51">
        <v>1461.6738499999999</v>
      </c>
      <c r="J29" s="52">
        <v>0</v>
      </c>
      <c r="K29" s="52">
        <v>1461.6738499999999</v>
      </c>
      <c r="L29" s="47">
        <v>171.20564999999999</v>
      </c>
      <c r="M29" s="48">
        <v>2500.624429</v>
      </c>
      <c r="N29" s="52">
        <v>0</v>
      </c>
      <c r="O29" s="49">
        <v>2671.8300789999998</v>
      </c>
      <c r="P29" s="48">
        <v>3794.4349149999998</v>
      </c>
      <c r="Q29" s="50">
        <v>70.41</v>
      </c>
    </row>
    <row r="30" spans="1:17" ht="23.1" customHeight="1" x14ac:dyDescent="0.25">
      <c r="A30" s="4" t="s">
        <v>27</v>
      </c>
      <c r="B30" s="28">
        <v>134</v>
      </c>
      <c r="C30" s="29">
        <v>375.87</v>
      </c>
      <c r="D30" s="32">
        <v>233.10499999999999</v>
      </c>
      <c r="E30" s="28">
        <v>875</v>
      </c>
      <c r="F30" s="29">
        <v>2144.0259999999998</v>
      </c>
      <c r="G30" s="29">
        <v>5876.2979999999998</v>
      </c>
      <c r="H30" s="32">
        <v>36.49</v>
      </c>
      <c r="I30" s="30">
        <v>1778.4455</v>
      </c>
      <c r="J30" s="31">
        <v>0</v>
      </c>
      <c r="K30" s="27">
        <v>1778.4455</v>
      </c>
      <c r="L30" s="29">
        <v>160.80195000000001</v>
      </c>
      <c r="M30" s="29">
        <v>3130.47</v>
      </c>
      <c r="N30" s="29">
        <v>0</v>
      </c>
      <c r="O30" s="29">
        <v>3291.2719499999998</v>
      </c>
      <c r="P30" s="28">
        <v>5238.6948540000003</v>
      </c>
      <c r="Q30" s="27">
        <v>62.83</v>
      </c>
    </row>
    <row r="31" spans="1:17" ht="23.1" customHeight="1" x14ac:dyDescent="0.25">
      <c r="A31" s="3" t="s">
        <v>28</v>
      </c>
      <c r="B31" s="47"/>
      <c r="C31" s="48"/>
      <c r="D31" s="49"/>
      <c r="E31" s="47"/>
      <c r="F31" s="48"/>
      <c r="G31" s="48"/>
      <c r="H31" s="49"/>
      <c r="I31" s="51"/>
      <c r="J31" s="52"/>
      <c r="K31" s="52"/>
      <c r="L31" s="51"/>
      <c r="M31" s="52"/>
      <c r="N31" s="52"/>
      <c r="O31" s="50"/>
      <c r="P31" s="48"/>
      <c r="Q31" s="50"/>
    </row>
    <row r="32" spans="1:17" ht="23.1" customHeight="1" x14ac:dyDescent="0.25">
      <c r="A32" s="4" t="s">
        <v>29</v>
      </c>
      <c r="B32" s="28"/>
      <c r="C32" s="29"/>
      <c r="D32" s="32"/>
      <c r="E32" s="28"/>
      <c r="F32" s="29"/>
      <c r="G32" s="29"/>
      <c r="H32" s="32"/>
      <c r="I32" s="30"/>
      <c r="J32" s="31"/>
      <c r="K32" s="31"/>
      <c r="L32" s="30"/>
      <c r="M32" s="31"/>
      <c r="N32" s="31"/>
      <c r="O32" s="27"/>
      <c r="P32" s="29"/>
      <c r="Q32" s="27"/>
    </row>
    <row r="33" spans="1:17" ht="23.1" customHeight="1" x14ac:dyDescent="0.25">
      <c r="A33" s="3" t="s">
        <v>30</v>
      </c>
      <c r="B33" s="47"/>
      <c r="C33" s="48"/>
      <c r="D33" s="49"/>
      <c r="E33" s="47"/>
      <c r="F33" s="48"/>
      <c r="G33" s="48"/>
      <c r="H33" s="49"/>
      <c r="I33" s="51"/>
      <c r="J33" s="52"/>
      <c r="K33" s="52"/>
      <c r="L33" s="51"/>
      <c r="M33" s="52"/>
      <c r="N33" s="52"/>
      <c r="O33" s="50"/>
      <c r="P33" s="48"/>
      <c r="Q33" s="50"/>
    </row>
    <row r="34" spans="1:17" ht="23.1" customHeight="1" x14ac:dyDescent="0.25">
      <c r="A34" s="4" t="s">
        <v>31</v>
      </c>
      <c r="B34" s="33"/>
      <c r="C34" s="35"/>
      <c r="D34" s="36"/>
      <c r="E34" s="33"/>
      <c r="F34" s="35"/>
      <c r="G34" s="35"/>
      <c r="H34" s="29"/>
      <c r="I34" s="38"/>
      <c r="J34" s="39"/>
      <c r="K34" s="39"/>
      <c r="L34" s="38"/>
      <c r="M34" s="39"/>
      <c r="N34" s="39"/>
      <c r="O34" s="37"/>
      <c r="P34" s="39"/>
      <c r="Q34" s="37"/>
    </row>
    <row r="35" spans="1:17" ht="23.1" customHeight="1" x14ac:dyDescent="0.25">
      <c r="A35" s="62" t="s">
        <v>32</v>
      </c>
      <c r="B35" s="54">
        <f t="shared" ref="B35:G35" si="5">SUM(B23:B34)</f>
        <v>1459</v>
      </c>
      <c r="C35" s="54">
        <f t="shared" si="5"/>
        <v>4580.4830933333333</v>
      </c>
      <c r="D35" s="54">
        <f t="shared" si="5"/>
        <v>3066.9145389999999</v>
      </c>
      <c r="E35" s="54">
        <f t="shared" si="5"/>
        <v>62222</v>
      </c>
      <c r="F35" s="54">
        <f t="shared" si="5"/>
        <v>197365.49220000001</v>
      </c>
      <c r="G35" s="54">
        <f t="shared" si="5"/>
        <v>220812.58789999998</v>
      </c>
      <c r="H35" s="55">
        <f t="shared" ref="H35" si="6">IFERROR(F35/G35*100," ")</f>
        <v>89.381449706744746</v>
      </c>
      <c r="I35" s="55">
        <f>SUM(I23:I34)</f>
        <v>13929.719610999999</v>
      </c>
      <c r="J35" s="55">
        <f>SUM(J23:J34)</f>
        <v>0</v>
      </c>
      <c r="K35" s="55">
        <f t="shared" ref="K35" si="7">IF(AND(ISBLANK(I35),ISBLANK(J35))=TRUE,"",I35+J35)</f>
        <v>13929.719610999999</v>
      </c>
      <c r="L35" s="55">
        <f>SUM(L23:L34)</f>
        <v>18424.051450000003</v>
      </c>
      <c r="M35" s="55">
        <f>SUM(M23:M34)</f>
        <v>27087.077566800002</v>
      </c>
      <c r="N35" s="55">
        <f>SUM(N23:N34)</f>
        <v>0</v>
      </c>
      <c r="O35" s="55">
        <f t="shared" ref="O35" si="8">IF(AND(ISBLANK(L35),ISBLANK(M35),ISBLANK(N35))=TRUE,"",L35+M35+N35)</f>
        <v>45511.129016800005</v>
      </c>
      <c r="P35" s="55">
        <f>SUM(P23:P34)</f>
        <v>70537.301430000007</v>
      </c>
      <c r="Q35" s="55">
        <f t="shared" ref="Q35" si="9">IFERROR(O35/P35*100," ")</f>
        <v>64.52065516280696</v>
      </c>
    </row>
    <row r="36" spans="1:17" ht="18.75" customHeight="1" x14ac:dyDescent="0.25">
      <c r="A36" s="69" t="s">
        <v>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1"/>
    </row>
    <row r="37" spans="1:17" ht="15.75" x14ac:dyDescent="0.25">
      <c r="A37" s="66" t="s">
        <v>33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8"/>
    </row>
    <row r="38" spans="1:17" ht="15.75" x14ac:dyDescent="0.25">
      <c r="A38" s="66" t="s">
        <v>34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8"/>
    </row>
    <row r="39" spans="1:17" ht="28.9" customHeight="1" x14ac:dyDescent="0.25"/>
    <row r="40" spans="1:17" ht="178.5" customHeight="1" x14ac:dyDescent="0.3">
      <c r="H40" s="56"/>
      <c r="Q40" s="56"/>
    </row>
    <row r="41" spans="1:17" ht="25.5" customHeight="1" x14ac:dyDescent="0.25"/>
    <row r="42" spans="1:17" ht="25.5" customHeight="1" x14ac:dyDescent="0.3">
      <c r="H42" s="56"/>
      <c r="Q42" s="56"/>
    </row>
    <row r="43" spans="1:17" ht="25.5" customHeight="1" x14ac:dyDescent="0.25"/>
    <row r="44" spans="1:17" ht="25.5" customHeight="1" x14ac:dyDescent="0.3">
      <c r="H44" s="56"/>
      <c r="Q44" s="56"/>
    </row>
    <row r="45" spans="1:17" ht="25.5" customHeight="1" x14ac:dyDescent="0.25"/>
    <row r="46" spans="1:17" ht="25.5" customHeight="1" x14ac:dyDescent="0.3">
      <c r="H46" s="56"/>
      <c r="Q46" s="56"/>
    </row>
    <row r="47" spans="1:17" ht="25.5" customHeight="1" x14ac:dyDescent="0.25"/>
    <row r="48" spans="1:17" ht="25.5" customHeight="1" x14ac:dyDescent="0.3">
      <c r="H48" s="56"/>
      <c r="Q48" s="56"/>
    </row>
    <row r="49" spans="8:17" ht="25.5" customHeight="1" x14ac:dyDescent="0.25"/>
    <row r="50" spans="8:17" ht="25.5" customHeight="1" x14ac:dyDescent="0.3">
      <c r="H50" s="56"/>
      <c r="Q50" s="56"/>
    </row>
    <row r="51" spans="8:17" ht="25.5" customHeight="1" x14ac:dyDescent="0.25"/>
    <row r="52" spans="8:17" ht="25.5" customHeight="1" x14ac:dyDescent="0.3">
      <c r="H52" s="56"/>
      <c r="Q52" s="56"/>
    </row>
    <row r="53" spans="8:17" ht="25.5" customHeight="1" x14ac:dyDescent="0.25"/>
    <row r="54" spans="8:17" ht="22.5" customHeight="1" x14ac:dyDescent="0.3">
      <c r="H54" s="56"/>
      <c r="Q54" s="56"/>
    </row>
    <row r="55" spans="8:17" ht="22.5" customHeight="1" x14ac:dyDescent="0.25"/>
    <row r="56" spans="8:17" ht="22.5" customHeight="1" x14ac:dyDescent="0.3">
      <c r="H56" s="56"/>
      <c r="Q56" s="56"/>
    </row>
    <row r="57" spans="8:17" ht="47.25" customHeight="1" x14ac:dyDescent="0.3">
      <c r="H57" s="56"/>
      <c r="Q57" s="56"/>
    </row>
    <row r="58" spans="8:17" ht="28.9" customHeight="1" x14ac:dyDescent="0.3">
      <c r="H58" s="56"/>
      <c r="Q58" s="56"/>
    </row>
    <row r="59" spans="8:17" ht="164.25" customHeight="1" x14ac:dyDescent="0.3">
      <c r="H59" s="56"/>
      <c r="Q59" s="56"/>
    </row>
    <row r="60" spans="8:17" ht="24.75" customHeight="1" x14ac:dyDescent="0.3">
      <c r="H60" s="56"/>
      <c r="Q60" s="56"/>
    </row>
    <row r="61" spans="8:17" ht="24.75" customHeight="1" x14ac:dyDescent="0.3">
      <c r="H61" s="56"/>
      <c r="Q61" s="56"/>
    </row>
    <row r="62" spans="8:17" ht="24.75" customHeight="1" x14ac:dyDescent="0.3">
      <c r="H62" s="56"/>
      <c r="Q62" s="56"/>
    </row>
    <row r="63" spans="8:17" ht="24.75" customHeight="1" x14ac:dyDescent="0.25"/>
    <row r="64" spans="8:17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82" spans="8:17" ht="18.75" x14ac:dyDescent="0.3">
      <c r="H82" s="56"/>
      <c r="Q82" s="56"/>
    </row>
    <row r="85" spans="8:17" ht="18.75" x14ac:dyDescent="0.3">
      <c r="H85" s="56"/>
      <c r="Q85" s="56"/>
    </row>
    <row r="87" spans="8:17" ht="18.75" x14ac:dyDescent="0.3">
      <c r="H87" s="56"/>
      <c r="Q87" s="56"/>
    </row>
    <row r="89" spans="8:17" ht="18.75" x14ac:dyDescent="0.3">
      <c r="H89" s="56"/>
      <c r="Q89" s="56"/>
    </row>
    <row r="91" spans="8:17" ht="18.75" x14ac:dyDescent="0.3">
      <c r="H91" s="56"/>
      <c r="Q91" s="56"/>
    </row>
    <row r="93" spans="8:17" ht="18.75" x14ac:dyDescent="0.3">
      <c r="H93" s="56"/>
      <c r="Q93" s="56"/>
    </row>
    <row r="95" spans="8:17" ht="18.75" x14ac:dyDescent="0.3">
      <c r="H95" s="56"/>
      <c r="Q95" s="56"/>
    </row>
    <row r="97" spans="8:17" ht="18.75" x14ac:dyDescent="0.3">
      <c r="H97" s="56"/>
      <c r="Q97" s="56"/>
    </row>
    <row r="99" spans="8:17" ht="18.75" x14ac:dyDescent="0.3">
      <c r="H99" s="56"/>
      <c r="Q99" s="56"/>
    </row>
    <row r="101" spans="8:17" ht="18.75" x14ac:dyDescent="0.3">
      <c r="H101" s="56"/>
      <c r="Q101" s="56"/>
    </row>
    <row r="102" spans="8:17" ht="18.75" x14ac:dyDescent="0.3">
      <c r="Q102" s="56"/>
    </row>
    <row r="103" spans="8:17" ht="18.75" x14ac:dyDescent="0.3">
      <c r="H103" s="56"/>
      <c r="Q103" s="56"/>
    </row>
    <row r="104" spans="8:17" ht="18.75" x14ac:dyDescent="0.3">
      <c r="H104" s="56"/>
      <c r="Q104" s="56"/>
    </row>
    <row r="105" spans="8:17" ht="18.75" x14ac:dyDescent="0.3">
      <c r="H105" s="56"/>
      <c r="Q105" s="56"/>
    </row>
    <row r="106" spans="8:17" ht="18.75" x14ac:dyDescent="0.3">
      <c r="H106" s="56"/>
      <c r="Q106" s="56"/>
    </row>
    <row r="107" spans="8:17" ht="18.75" x14ac:dyDescent="0.3">
      <c r="H107" s="56"/>
      <c r="Q107" s="56"/>
    </row>
    <row r="130" spans="8:17" ht="18.75" x14ac:dyDescent="0.3">
      <c r="H130" s="56"/>
      <c r="Q130" s="56"/>
    </row>
    <row r="133" spans="8:17" ht="18.75" x14ac:dyDescent="0.3">
      <c r="H133" s="56"/>
      <c r="Q133" s="56"/>
    </row>
    <row r="135" spans="8:17" ht="18.75" x14ac:dyDescent="0.3">
      <c r="H135" s="56"/>
      <c r="Q135" s="56"/>
    </row>
    <row r="137" spans="8:17" ht="18.75" x14ac:dyDescent="0.3">
      <c r="H137" s="56"/>
      <c r="Q137" s="56"/>
    </row>
    <row r="139" spans="8:17" ht="18.75" x14ac:dyDescent="0.3">
      <c r="H139" s="56"/>
      <c r="Q139" s="56"/>
    </row>
    <row r="141" spans="8:17" ht="18.75" x14ac:dyDescent="0.3">
      <c r="H141" s="56"/>
      <c r="Q141" s="56"/>
    </row>
    <row r="143" spans="8:17" ht="18.75" x14ac:dyDescent="0.3">
      <c r="H143" s="56"/>
      <c r="Q143" s="56"/>
    </row>
    <row r="145" spans="8:17" ht="18.75" x14ac:dyDescent="0.3">
      <c r="H145" s="56"/>
      <c r="Q145" s="56"/>
    </row>
    <row r="147" spans="8:17" ht="18.75" x14ac:dyDescent="0.3">
      <c r="H147" s="56"/>
      <c r="Q147" s="56"/>
    </row>
    <row r="149" spans="8:17" ht="18.75" x14ac:dyDescent="0.3">
      <c r="H149" s="56"/>
      <c r="Q149" s="56"/>
    </row>
    <row r="151" spans="8:17" ht="18.75" x14ac:dyDescent="0.3">
      <c r="H151" s="56"/>
      <c r="Q151" s="56"/>
    </row>
    <row r="153" spans="8:17" ht="18.75" x14ac:dyDescent="0.3">
      <c r="H153" s="56"/>
      <c r="Q153" s="56"/>
    </row>
    <row r="155" spans="8:17" ht="18.75" x14ac:dyDescent="0.3">
      <c r="H155" s="56"/>
      <c r="Q155" s="56"/>
    </row>
    <row r="178" spans="8:17" ht="18.75" x14ac:dyDescent="0.3">
      <c r="H178" s="56"/>
      <c r="Q178" s="56"/>
    </row>
    <row r="180" spans="8:17" ht="18.75" x14ac:dyDescent="0.3">
      <c r="H180" s="56"/>
      <c r="Q180" s="56"/>
    </row>
    <row r="181" spans="8:17" ht="18.75" x14ac:dyDescent="0.3">
      <c r="H181" s="56"/>
      <c r="Q181" s="56"/>
    </row>
    <row r="182" spans="8:17" ht="18.75" x14ac:dyDescent="0.3">
      <c r="H182" s="56"/>
      <c r="Q182" s="56"/>
    </row>
    <row r="183" spans="8:17" ht="18.75" x14ac:dyDescent="0.3">
      <c r="H183" s="56"/>
      <c r="Q183" s="56"/>
    </row>
    <row r="184" spans="8:17" ht="18.75" x14ac:dyDescent="0.3">
      <c r="H184" s="56"/>
      <c r="Q184" s="56"/>
    </row>
    <row r="185" spans="8:17" ht="18.75" x14ac:dyDescent="0.3">
      <c r="H185" s="56"/>
      <c r="Q185" s="56"/>
    </row>
    <row r="186" spans="8:17" ht="18.75" x14ac:dyDescent="0.3">
      <c r="H186" s="56"/>
      <c r="Q186" s="56"/>
    </row>
    <row r="187" spans="8:17" ht="18.75" x14ac:dyDescent="0.3">
      <c r="H187" s="56"/>
      <c r="Q187" s="56"/>
    </row>
    <row r="188" spans="8:17" ht="18.75" x14ac:dyDescent="0.3">
      <c r="H188" s="56"/>
      <c r="Q188" s="56"/>
    </row>
    <row r="189" spans="8:17" ht="18.75" x14ac:dyDescent="0.3">
      <c r="H189" s="56"/>
      <c r="Q189" s="56"/>
    </row>
    <row r="190" spans="8:17" ht="18.75" x14ac:dyDescent="0.3">
      <c r="H190" s="56"/>
      <c r="Q190" s="56"/>
    </row>
    <row r="191" spans="8:17" ht="18.75" x14ac:dyDescent="0.3">
      <c r="H191" s="56"/>
      <c r="Q191" s="56"/>
    </row>
    <row r="192" spans="8:17" ht="18.75" x14ac:dyDescent="0.3">
      <c r="H192" s="56"/>
      <c r="Q192" s="56"/>
    </row>
    <row r="193" spans="8:17" ht="18.75" x14ac:dyDescent="0.3">
      <c r="H193" s="56"/>
      <c r="Q193" s="56"/>
    </row>
    <row r="194" spans="8:17" ht="18.75" x14ac:dyDescent="0.3">
      <c r="H194" s="56"/>
      <c r="Q194" s="56"/>
    </row>
    <row r="195" spans="8:17" ht="18.75" x14ac:dyDescent="0.3">
      <c r="H195" s="56"/>
      <c r="Q195" s="56"/>
    </row>
    <row r="196" spans="8:17" ht="18.75" x14ac:dyDescent="0.3">
      <c r="H196" s="56"/>
      <c r="Q196" s="56"/>
    </row>
    <row r="197" spans="8:17" ht="18.75" x14ac:dyDescent="0.3">
      <c r="H197" s="56"/>
      <c r="Q197" s="56"/>
    </row>
    <row r="198" spans="8:17" ht="18.75" x14ac:dyDescent="0.3">
      <c r="H198" s="56"/>
      <c r="Q198" s="56"/>
    </row>
    <row r="199" spans="8:17" ht="18.75" x14ac:dyDescent="0.3">
      <c r="H199" s="56"/>
      <c r="Q199" s="56"/>
    </row>
    <row r="200" spans="8:17" ht="18.75" x14ac:dyDescent="0.3">
      <c r="H200" s="56"/>
      <c r="Q200" s="56"/>
    </row>
    <row r="201" spans="8:17" ht="18.75" x14ac:dyDescent="0.3">
      <c r="H201" s="56"/>
      <c r="Q201" s="56"/>
    </row>
    <row r="202" spans="8:17" ht="18.75" x14ac:dyDescent="0.3">
      <c r="H202" s="56"/>
      <c r="Q202" s="56"/>
    </row>
    <row r="203" spans="8:17" ht="18.75" x14ac:dyDescent="0.3">
      <c r="H203" s="56"/>
      <c r="Q203" s="56"/>
    </row>
    <row r="226" spans="8:17" ht="18.75" x14ac:dyDescent="0.3">
      <c r="H226" s="56"/>
      <c r="Q226" s="56"/>
    </row>
    <row r="229" spans="8:17" ht="18.75" x14ac:dyDescent="0.3">
      <c r="H229" s="56"/>
      <c r="Q229" s="56"/>
    </row>
    <row r="231" spans="8:17" ht="18.75" x14ac:dyDescent="0.3">
      <c r="H231" s="56"/>
      <c r="Q231" s="56"/>
    </row>
    <row r="232" spans="8:17" ht="18.75" x14ac:dyDescent="0.3">
      <c r="H232" s="56"/>
    </row>
    <row r="233" spans="8:17" ht="18.75" x14ac:dyDescent="0.3">
      <c r="H233" s="56"/>
      <c r="Q233" s="56"/>
    </row>
    <row r="235" spans="8:17" ht="18.75" x14ac:dyDescent="0.3">
      <c r="H235" s="56"/>
      <c r="Q235" s="56"/>
    </row>
    <row r="237" spans="8:17" ht="18.75" x14ac:dyDescent="0.3">
      <c r="H237" s="56"/>
      <c r="Q237" s="56"/>
    </row>
    <row r="239" spans="8:17" ht="18.75" x14ac:dyDescent="0.3">
      <c r="H239" s="56"/>
      <c r="Q239" s="56"/>
    </row>
    <row r="241" spans="8:17" ht="18.75" x14ac:dyDescent="0.3">
      <c r="H241" s="56"/>
      <c r="Q241" s="56"/>
    </row>
    <row r="243" spans="8:17" ht="18.75" x14ac:dyDescent="0.3">
      <c r="H243" s="56"/>
      <c r="Q243" s="56"/>
    </row>
    <row r="245" spans="8:17" ht="18.75" x14ac:dyDescent="0.3">
      <c r="H245" s="56"/>
      <c r="Q245" s="56"/>
    </row>
    <row r="246" spans="8:17" ht="18.75" x14ac:dyDescent="0.3">
      <c r="H246" s="56"/>
      <c r="Q246" s="56"/>
    </row>
    <row r="247" spans="8:17" ht="18.75" x14ac:dyDescent="0.3">
      <c r="H247" s="56"/>
      <c r="Q247" s="56"/>
    </row>
    <row r="248" spans="8:17" ht="18.75" x14ac:dyDescent="0.3">
      <c r="H248" s="56"/>
      <c r="Q248" s="56"/>
    </row>
    <row r="249" spans="8:17" ht="18.75" x14ac:dyDescent="0.3">
      <c r="H249" s="56"/>
      <c r="Q249" s="56"/>
    </row>
    <row r="250" spans="8:17" ht="18.75" x14ac:dyDescent="0.3">
      <c r="H250" s="56"/>
      <c r="Q250" s="56"/>
    </row>
    <row r="251" spans="8:17" ht="18.75" x14ac:dyDescent="0.3">
      <c r="H251" s="56"/>
      <c r="Q251" s="56"/>
    </row>
    <row r="253" spans="8:17" ht="18.75" x14ac:dyDescent="0.3">
      <c r="H253" s="56"/>
    </row>
    <row r="272" spans="8:17" ht="18.75" x14ac:dyDescent="0.3">
      <c r="H272" s="56"/>
      <c r="Q272" s="56"/>
    </row>
    <row r="275" spans="8:17" ht="18.75" x14ac:dyDescent="0.3">
      <c r="H275" s="56"/>
      <c r="Q275" s="56"/>
    </row>
    <row r="277" spans="8:17" ht="18.75" x14ac:dyDescent="0.3">
      <c r="H277" s="56"/>
      <c r="Q277" s="56"/>
    </row>
    <row r="279" spans="8:17" ht="18.75" x14ac:dyDescent="0.3">
      <c r="H279" s="56"/>
      <c r="Q279" s="56"/>
    </row>
    <row r="281" spans="8:17" ht="18.75" x14ac:dyDescent="0.3">
      <c r="H281" s="56"/>
      <c r="Q281" s="56"/>
    </row>
    <row r="283" spans="8:17" ht="18.75" x14ac:dyDescent="0.3">
      <c r="H283" s="56"/>
      <c r="Q283" s="56"/>
    </row>
    <row r="285" spans="8:17" ht="18.75" x14ac:dyDescent="0.3">
      <c r="H285" s="56"/>
      <c r="Q285" s="56"/>
    </row>
    <row r="287" spans="8:17" ht="18.75" x14ac:dyDescent="0.3">
      <c r="H287" s="56"/>
      <c r="Q287" s="56"/>
    </row>
    <row r="289" spans="8:17" ht="18.75" x14ac:dyDescent="0.3">
      <c r="H289" s="56"/>
      <c r="Q289" s="56"/>
    </row>
    <row r="291" spans="8:17" ht="18.75" x14ac:dyDescent="0.3">
      <c r="H291" s="56"/>
      <c r="Q291" s="56"/>
    </row>
    <row r="293" spans="8:17" ht="18.75" x14ac:dyDescent="0.3">
      <c r="H293" s="56"/>
      <c r="Q293" s="56"/>
    </row>
    <row r="295" spans="8:17" ht="18.75" x14ac:dyDescent="0.3">
      <c r="H295" s="56"/>
      <c r="Q295" s="56"/>
    </row>
    <row r="297" spans="8:17" ht="18.75" x14ac:dyDescent="0.3">
      <c r="H297" s="56"/>
      <c r="Q297" s="56"/>
    </row>
    <row r="323" spans="8:17" ht="18.75" x14ac:dyDescent="0.3">
      <c r="Q323" s="56"/>
    </row>
    <row r="325" spans="8:17" ht="18.75" x14ac:dyDescent="0.3">
      <c r="H325" s="56"/>
      <c r="Q325" s="56"/>
    </row>
    <row r="327" spans="8:17" ht="18.75" x14ac:dyDescent="0.3">
      <c r="H327" s="56"/>
    </row>
    <row r="329" spans="8:17" ht="18.75" x14ac:dyDescent="0.3">
      <c r="H329" s="56"/>
      <c r="Q329" s="56"/>
    </row>
    <row r="357" spans="8:17" ht="18.75" x14ac:dyDescent="0.3">
      <c r="H357" s="56"/>
    </row>
    <row r="359" spans="8:17" ht="18.75" x14ac:dyDescent="0.3">
      <c r="Q359" s="56"/>
    </row>
    <row r="360" spans="8:17" ht="18.75" x14ac:dyDescent="0.3">
      <c r="Q360" s="56"/>
    </row>
    <row r="361" spans="8:17" ht="18.75" x14ac:dyDescent="0.3">
      <c r="Q361" s="56"/>
    </row>
    <row r="362" spans="8:17" ht="18.75" x14ac:dyDescent="0.3">
      <c r="Q362" s="56"/>
    </row>
    <row r="363" spans="8:17" ht="18.75" x14ac:dyDescent="0.3">
      <c r="H363" s="56"/>
      <c r="Q363" s="56"/>
    </row>
    <row r="365" spans="8:17" ht="18.75" x14ac:dyDescent="0.3">
      <c r="H365" s="56"/>
      <c r="Q365" s="56"/>
    </row>
    <row r="368" spans="8:17" ht="18.75" x14ac:dyDescent="0.3">
      <c r="Q368" s="56"/>
    </row>
    <row r="392" spans="8:17" ht="18.75" x14ac:dyDescent="0.3">
      <c r="Q392" s="56"/>
    </row>
    <row r="393" spans="8:17" ht="18.75" x14ac:dyDescent="0.3">
      <c r="H393" s="56"/>
      <c r="Q393" s="56"/>
    </row>
    <row r="394" spans="8:17" ht="18.75" x14ac:dyDescent="0.3">
      <c r="H394" s="56"/>
      <c r="Q394" s="56"/>
    </row>
    <row r="395" spans="8:17" ht="18.75" x14ac:dyDescent="0.3">
      <c r="H395" s="56"/>
      <c r="Q395" s="56"/>
    </row>
    <row r="396" spans="8:17" ht="18.75" x14ac:dyDescent="0.3">
      <c r="H396" s="56"/>
      <c r="Q396" s="56"/>
    </row>
    <row r="397" spans="8:17" ht="18.75" x14ac:dyDescent="0.3">
      <c r="H397" s="56"/>
      <c r="Q397" s="56"/>
    </row>
    <row r="398" spans="8:17" ht="18.75" x14ac:dyDescent="0.3">
      <c r="H398" s="56"/>
      <c r="Q398" s="56"/>
    </row>
    <row r="400" spans="8:17" ht="18.75" x14ac:dyDescent="0.3">
      <c r="H400" s="56"/>
      <c r="Q400" s="56"/>
    </row>
    <row r="454" spans="13:13" ht="18.75" x14ac:dyDescent="0.3">
      <c r="M454" s="57"/>
    </row>
    <row r="455" spans="13:13" ht="18.75" x14ac:dyDescent="0.3">
      <c r="M455" s="1" t="s">
        <v>35</v>
      </c>
    </row>
  </sheetData>
  <mergeCells count="32"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8:Q18"/>
    <mergeCell ref="A37:Q37"/>
    <mergeCell ref="A19:Q19"/>
    <mergeCell ref="A36:Q36"/>
    <mergeCell ref="A17:Q17"/>
  </mergeCells>
  <pageMargins left="0.7" right="0.7" top="0.75" bottom="0.5" header="0.3" footer="0.3"/>
  <pageSetup scale="65" firstPageNumber="76" orientation="landscape" useFirstPageNumber="1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Monthly_Template</vt:lpstr>
      <vt:lpstr>Monthly_Template!\x</vt:lpstr>
      <vt:lpstr>Monthly_Template!Print_Area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2025-04-22T10:08:32Z</cp:lastPrinted>
  <dcterms:created xsi:type="dcterms:W3CDTF">2021-03-02T10:01:37Z</dcterms:created>
  <dcterms:modified xsi:type="dcterms:W3CDTF">2026-09-14T05:37:45Z</dcterms:modified>
</cp:coreProperties>
</file>