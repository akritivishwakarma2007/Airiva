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ukesh office data\Nitin Soni, JSO\August 2026\August 2026 Monthly Data to be uploaded\Excel August 2026\"/>
    </mc:Choice>
  </mc:AlternateContent>
  <bookViews>
    <workbookView xWindow="0" yWindow="0" windowWidth="20490" windowHeight="9045"/>
  </bookViews>
  <sheets>
    <sheet name="Monthly_Template" sheetId="2" r:id="rId1"/>
  </sheets>
  <externalReferences>
    <externalReference r:id="rId2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Monthly_Template!$C$134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Monthly_Template!$A$1:$Q$38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 iterate="1"/>
</workbook>
</file>

<file path=xl/calcChain.xml><?xml version="1.0" encoding="utf-8"?>
<calcChain xmlns="http://schemas.openxmlformats.org/spreadsheetml/2006/main">
  <c r="K35" i="2" l="1"/>
  <c r="P35" i="2" l="1"/>
  <c r="N35" i="2"/>
  <c r="M35" i="2"/>
  <c r="L35" i="2"/>
  <c r="O35" i="2" s="1"/>
  <c r="Q35" i="2" s="1"/>
  <c r="J35" i="2"/>
  <c r="I35" i="2"/>
  <c r="G35" i="2"/>
  <c r="F35" i="2"/>
  <c r="H35" i="2" s="1"/>
  <c r="E35" i="2"/>
  <c r="D35" i="2"/>
  <c r="C35" i="2"/>
  <c r="B35" i="2"/>
  <c r="P16" i="2"/>
  <c r="N16" i="2"/>
  <c r="O16" i="2" s="1"/>
  <c r="Q16" i="2" s="1"/>
  <c r="M16" i="2"/>
  <c r="L16" i="2"/>
  <c r="J16" i="2"/>
  <c r="I16" i="2"/>
  <c r="K16" i="2" s="1"/>
  <c r="G16" i="2"/>
  <c r="F16" i="2"/>
  <c r="H16" i="2" s="1"/>
  <c r="E16" i="2"/>
  <c r="D16" i="2"/>
  <c r="C16" i="2"/>
  <c r="B16" i="2"/>
</calcChain>
</file>

<file path=xl/sharedStrings.xml><?xml version="1.0" encoding="utf-8"?>
<sst xmlns="http://schemas.openxmlformats.org/spreadsheetml/2006/main" count="78" uniqueCount="41">
  <si>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</si>
  <si>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</si>
  <si>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</si>
  <si>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</si>
  <si>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</si>
  <si>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</si>
  <si>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</si>
  <si>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</si>
  <si>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</si>
  <si>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</si>
  <si>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</si>
  <si>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</si>
  <si>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</si>
  <si>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</si>
  <si>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</si>
  <si>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</si>
  <si>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</si>
  <si>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</si>
  <si>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</si>
  <si>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</si>
  <si>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</si>
  <si>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</si>
  <si>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</si>
  <si>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</si>
  <si>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</si>
  <si>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</si>
  <si>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</si>
  <si>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</si>
  <si>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</si>
  <si>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</si>
  <si>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</si>
  <si>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</si>
  <si>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</si>
  <si>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NOTE:- # PAX LOAD FACTOR = (PAX KM PERFORMED/AVAILABLE SEAT KMS)*100</t>
  </si>
  <si>
    <t xml:space="preserve">          # # WEIGHT LOAD FACTOR = (TONNE KMS PERFORMED/ AVAILABLE TONNE KMS)*100</t>
  </si>
  <si>
    <t>[</t>
  </si>
  <si>
    <t xml:space="preserve"> </t>
  </si>
  <si>
    <t>SOURCE:-ICAO ATR FORM A FURNISHED BY SCHEDULED OPERTORS</t>
  </si>
  <si>
    <t>Monthly Traffic And Operating Statistics of Indian Carriers (Provisional)
 ( Scheduled Domestic Services)</t>
  </si>
  <si>
    <t>Monthly Traffic And Operating Statistics of Indian Carriers (Provisional)
 (Non- Scheduled Domestic Services)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</si>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</sst>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_)"/>
    <numFmt numFmtId="166" formatCode="0.0"/>
  </numFmts>
  <fonts count="10" x14ac:knownFonts="1">
    <font>
      <sz val="11"/>
      <color theme="1"/>
      <name val="Calibri"/>
      <family val="2"/>
      <charset val="1"/>
      <scheme val="minor"/>
    </font>
    <font>
      <sz val="14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8"/>
      <color theme="1"/>
      <name val="Calibri Light"/>
      <family val="1"/>
      <scheme val="major"/>
    </font>
    <font>
      <b/>
      <sz val="11"/>
      <color theme="1"/>
      <name val="Cambria"/>
      <family val="1"/>
    </font>
    <font>
      <b/>
      <sz val="11"/>
      <color theme="1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2"/>
      <color theme="1"/>
      <name val="Calibri Light"/>
      <family val="2"/>
      <scheme val="major"/>
    </font>
    <font>
      <b/>
      <sz val="12"/>
      <color theme="1"/>
      <name val="Cambria"/>
      <family val="1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2" borderId="0" xfId="0" applyFont="1" applyFill="1"/>
    <xf numFmtId="3" fontId="2" fillId="2" borderId="1" xfId="0" applyNumberFormat="1" applyFont="1" applyFill="1" applyBorder="1" applyAlignment="1">
      <alignment horizontal="center" vertical="center" wrapText="1"/>
    </xf>
    <xf numFmtId="3" fontId="2" fillId="2" borderId="0" xfId="0" applyNumberFormat="1" applyFont="1" applyFill="1" applyAlignment="1">
      <alignment horizontal="center" vertical="center" wrapText="1"/>
    </xf>
    <xf numFmtId="3" fontId="2" fillId="2" borderId="7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3" fontId="2" fillId="3" borderId="0" xfId="0" applyNumberFormat="1" applyFont="1" applyFill="1" applyAlignment="1">
      <alignment horizontal="center" vertical="center" wrapText="1"/>
    </xf>
    <xf numFmtId="3" fontId="2" fillId="3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textRotation="90" wrapText="1"/>
    </xf>
    <xf numFmtId="164" fontId="2" fillId="3" borderId="7" xfId="0" applyNumberFormat="1" applyFont="1" applyFill="1" applyBorder="1" applyAlignment="1">
      <alignment horizontal="center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164" fontId="2" fillId="2" borderId="10" xfId="0" applyNumberFormat="1" applyFont="1" applyFill="1" applyBorder="1" applyAlignment="1">
      <alignment horizontal="center" vertical="center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3" fontId="7" fillId="5" borderId="12" xfId="0" applyNumberFormat="1" applyFont="1" applyFill="1" applyBorder="1" applyAlignment="1">
      <alignment horizontal="center" vertical="center" wrapText="1"/>
    </xf>
    <xf numFmtId="164" fontId="7" fillId="5" borderId="12" xfId="0" applyNumberFormat="1" applyFont="1" applyFill="1" applyBorder="1" applyAlignment="1">
      <alignment horizontal="center" vertical="center" wrapText="1"/>
    </xf>
    <xf numFmtId="164" fontId="7" fillId="5" borderId="8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textRotation="90" wrapText="1"/>
    </xf>
    <xf numFmtId="0" fontId="3" fillId="7" borderId="8" xfId="0" applyFont="1" applyFill="1" applyBorder="1" applyAlignment="1">
      <alignment horizontal="center" vertical="center" wrapText="1"/>
    </xf>
    <xf numFmtId="165" fontId="1" fillId="2" borderId="0" xfId="0" applyNumberFormat="1" applyFont="1" applyFill="1"/>
    <xf numFmtId="0" fontId="1" fillId="2" borderId="0" xfId="0" applyFont="1" applyFill="1" applyAlignment="1">
      <alignment horizontal="left"/>
    </xf>
    <xf numFmtId="3" fontId="2" fillId="3" borderId="13" xfId="0" applyNumberFormat="1" applyFont="1" applyFill="1" applyBorder="1" applyAlignment="1">
      <alignment horizontal="center" vertical="center" wrapText="1"/>
    </xf>
    <xf numFmtId="3" fontId="2" fillId="3" borderId="5" xfId="0" applyNumberFormat="1" applyFont="1" applyFill="1" applyBorder="1" applyAlignment="1">
      <alignment horizontal="center" vertical="center" wrapText="1"/>
    </xf>
    <xf numFmtId="3" fontId="2" fillId="3" borderId="14" xfId="0" applyNumberFormat="1" applyFont="1" applyFill="1" applyBorder="1" applyAlignment="1">
      <alignment horizontal="center" vertical="center" wrapText="1"/>
    </xf>
    <xf numFmtId="164" fontId="2" fillId="3" borderId="13" xfId="0" applyNumberFormat="1" applyFont="1" applyFill="1" applyBorder="1" applyAlignment="1">
      <alignment horizontal="center" vertical="center" wrapText="1"/>
    </xf>
    <xf numFmtId="164" fontId="2" fillId="3" borderId="14" xfId="0" applyNumberFormat="1" applyFont="1" applyFill="1" applyBorder="1" applyAlignment="1">
      <alignment horizontal="center" vertical="center" wrapText="1"/>
    </xf>
    <xf numFmtId="164" fontId="6" fillId="4" borderId="8" xfId="0" applyNumberFormat="1" applyFont="1" applyFill="1" applyBorder="1" applyAlignment="1">
      <alignment horizontal="center" vertical="center" textRotation="90" wrapText="1"/>
    </xf>
    <xf numFmtId="164" fontId="3" fillId="6" borderId="5" xfId="0" applyNumberFormat="1" applyFont="1" applyFill="1" applyBorder="1" applyAlignment="1">
      <alignment horizontal="center" vertical="center" textRotation="90" wrapText="1"/>
    </xf>
    <xf numFmtId="0" fontId="8" fillId="7" borderId="8" xfId="0" applyFont="1" applyFill="1" applyBorder="1" applyAlignment="1">
      <alignment horizontal="center" vertical="center" wrapText="1"/>
    </xf>
    <xf numFmtId="166" fontId="8" fillId="7" borderId="8" xfId="0" applyNumberFormat="1" applyFont="1" applyFill="1" applyBorder="1" applyAlignment="1">
      <alignment horizontal="center" vertical="center" wrapText="1"/>
    </xf>
    <xf numFmtId="164" fontId="8" fillId="8" borderId="7" xfId="0" applyNumberFormat="1" applyFont="1" applyFill="1" applyBorder="1" applyAlignment="1">
      <alignment horizontal="center" vertical="center" wrapText="1"/>
    </xf>
    <xf numFmtId="164" fontId="8" fillId="8" borderId="0" xfId="0" applyNumberFormat="1" applyFont="1" applyFill="1" applyAlignment="1">
      <alignment horizontal="center" vertical="center" wrapText="1"/>
    </xf>
    <xf numFmtId="164" fontId="8" fillId="2" borderId="7" xfId="0" applyNumberFormat="1" applyFont="1" applyFill="1" applyBorder="1" applyAlignment="1">
      <alignment horizontal="center" vertical="center" wrapText="1"/>
    </xf>
    <xf numFmtId="164" fontId="8" fillId="2" borderId="0" xfId="0" applyNumberFormat="1" applyFont="1" applyFill="1" applyAlignment="1">
      <alignment horizontal="center" vertical="center" wrapText="1"/>
    </xf>
    <xf numFmtId="164" fontId="8" fillId="2" borderId="11" xfId="0" applyNumberFormat="1" applyFont="1" applyFill="1" applyBorder="1" applyAlignment="1">
      <alignment horizontal="center" vertical="center" wrapText="1"/>
    </xf>
    <xf numFmtId="164" fontId="8" fillId="2" borderId="9" xfId="0" applyNumberFormat="1" applyFont="1" applyFill="1" applyBorder="1" applyAlignment="1">
      <alignment horizontal="center" vertical="center" wrapText="1"/>
    </xf>
    <xf numFmtId="3" fontId="8" fillId="8" borderId="13" xfId="0" applyNumberFormat="1" applyFont="1" applyFill="1" applyBorder="1" applyAlignment="1">
      <alignment horizontal="center" vertical="center" wrapText="1"/>
    </xf>
    <xf numFmtId="3" fontId="2" fillId="3" borderId="15" xfId="0" applyNumberFormat="1" applyFont="1" applyFill="1" applyBorder="1" applyAlignment="1">
      <alignment horizontal="center" vertical="center" wrapText="1"/>
    </xf>
    <xf numFmtId="3" fontId="8" fillId="8" borderId="14" xfId="0" applyNumberFormat="1" applyFont="1" applyFill="1" applyBorder="1" applyAlignment="1">
      <alignment horizontal="center" vertical="center" wrapText="1"/>
    </xf>
    <xf numFmtId="3" fontId="8" fillId="8" borderId="15" xfId="0" applyNumberFormat="1" applyFont="1" applyFill="1" applyBorder="1" applyAlignment="1">
      <alignment horizontal="center" vertical="center" wrapText="1"/>
    </xf>
    <xf numFmtId="164" fontId="8" fillId="8" borderId="15" xfId="0" applyNumberFormat="1" applyFont="1" applyFill="1" applyBorder="1" applyAlignment="1">
      <alignment horizontal="center" vertical="center" wrapText="1"/>
    </xf>
    <xf numFmtId="164" fontId="8" fillId="8" borderId="13" xfId="0" applyNumberFormat="1" applyFont="1" applyFill="1" applyBorder="1" applyAlignment="1">
      <alignment horizontal="center" vertical="center" wrapText="1"/>
    </xf>
    <xf numFmtId="164" fontId="8" fillId="8" borderId="14" xfId="0" applyNumberFormat="1" applyFont="1" applyFill="1" applyBorder="1" applyAlignment="1">
      <alignment horizontal="center" vertical="center" wrapText="1"/>
    </xf>
    <xf numFmtId="164" fontId="8" fillId="2" borderId="1" xfId="0" applyNumberFormat="1" applyFont="1" applyFill="1" applyBorder="1" applyAlignment="1">
      <alignment horizontal="center" vertical="center" wrapText="1"/>
    </xf>
    <xf numFmtId="164" fontId="8" fillId="8" borderId="1" xfId="0" applyNumberFormat="1" applyFont="1" applyFill="1" applyBorder="1" applyAlignment="1">
      <alignment horizontal="center" vertical="center" wrapText="1"/>
    </xf>
    <xf numFmtId="3" fontId="8" fillId="2" borderId="7" xfId="0" applyNumberFormat="1" applyFont="1" applyFill="1" applyBorder="1" applyAlignment="1">
      <alignment horizontal="center" vertical="center" wrapText="1"/>
    </xf>
    <xf numFmtId="3" fontId="8" fillId="2" borderId="0" xfId="0" applyNumberFormat="1" applyFont="1" applyFill="1" applyAlignment="1">
      <alignment horizontal="center" vertical="center" wrapText="1"/>
    </xf>
    <xf numFmtId="3" fontId="8" fillId="8" borderId="7" xfId="0" applyNumberFormat="1" applyFont="1" applyFill="1" applyBorder="1" applyAlignment="1">
      <alignment horizontal="center" vertical="center" wrapText="1"/>
    </xf>
    <xf numFmtId="164" fontId="2" fillId="3" borderId="15" xfId="0" applyNumberFormat="1" applyFont="1" applyFill="1" applyBorder="1" applyAlignment="1">
      <alignment horizontal="center" vertical="center" wrapText="1"/>
    </xf>
    <xf numFmtId="3" fontId="8" fillId="8" borderId="0" xfId="0" applyNumberFormat="1" applyFont="1" applyFill="1" applyAlignment="1">
      <alignment horizontal="center" vertical="center" wrapText="1"/>
    </xf>
    <xf numFmtId="3" fontId="8" fillId="8" borderId="1" xfId="0" applyNumberFormat="1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8" fillId="2" borderId="11" xfId="0" applyNumberFormat="1" applyFont="1" applyFill="1" applyBorder="1" applyAlignment="1">
      <alignment horizontal="center" vertical="center" wrapText="1"/>
    </xf>
    <xf numFmtId="3" fontId="8" fillId="2" borderId="9" xfId="0" applyNumberFormat="1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164" fontId="8" fillId="2" borderId="10" xfId="0" applyNumberFormat="1" applyFont="1" applyFill="1" applyBorder="1" applyAlignment="1">
      <alignment horizontal="center" vertical="center" wrapText="1"/>
    </xf>
    <xf numFmtId="3" fontId="2" fillId="2" borderId="12" xfId="0" applyNumberFormat="1" applyFont="1" applyFill="1" applyBorder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3" fontId="2" fillId="3" borderId="12" xfId="0" applyNumberFormat="1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4" fillId="3" borderId="4" xfId="0" applyNumberFormat="1" applyFont="1" applyFill="1" applyBorder="1" applyAlignment="1">
      <alignment horizontal="center" vertical="center" wrapText="1"/>
    </xf>
    <xf numFmtId="3" fontId="4" fillId="3" borderId="2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textRotation="90" wrapText="1"/>
    </xf>
    <xf numFmtId="0" fontId="6" fillId="4" borderId="6" xfId="0" applyFont="1" applyFill="1" applyBorder="1" applyAlignment="1">
      <alignment horizontal="center" vertical="center" textRotation="90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49" fontId="4" fillId="8" borderId="3" xfId="0" applyNumberFormat="1" applyFont="1" applyFill="1" applyBorder="1" applyAlignment="1">
      <alignment horizontal="center" vertical="center" wrapText="1"/>
    </xf>
    <xf numFmtId="49" fontId="4" fillId="8" borderId="4" xfId="0" applyNumberFormat="1" applyFont="1" applyFill="1" applyBorder="1" applyAlignment="1">
      <alignment horizontal="center" vertical="center" wrapText="1"/>
    </xf>
    <xf numFmtId="3" fontId="9" fillId="8" borderId="4" xfId="0" applyNumberFormat="1" applyFont="1" applyFill="1" applyBorder="1" applyAlignment="1">
      <alignment horizontal="center" vertical="center" wrapText="1"/>
    </xf>
    <xf numFmtId="3" fontId="4" fillId="8" borderId="4" xfId="0" applyNumberFormat="1" applyFont="1" applyFill="1" applyBorder="1" applyAlignment="1">
      <alignment horizontal="center" vertical="center" wrapText="1"/>
    </xf>
    <xf numFmtId="3" fontId="4" fillId="8" borderId="2" xfId="0" applyNumberFormat="1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textRotation="90" wrapText="1"/>
    </xf>
    <xf numFmtId="0" fontId="3" fillId="6" borderId="6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ti\Desktop\Nitin%20DGCA\Form%20A\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PivotTable"/>
      <sheetName val="Interface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2"/>
  <dimension ref="A1:Q456"/>
  <sheetViews>
    <sheetView showGridLines="0" tabSelected="1" view="pageBreakPreview" zoomScale="85" zoomScaleNormal="85" zoomScaleSheetLayoutView="85" workbookViewId="0">
      <selection activeCell="J34" sqref="J34"/>
    </sheetView>
  </sheetViews>
  <sheetFormatPr defaultColWidth="11.42578125" defaultRowHeight="15" x14ac:dyDescent="0.25"/>
  <cols>
    <col min="1" max="1" width="10.42578125" customWidth="1"/>
    <col min="2" max="3" width="10.28515625" customWidth="1"/>
    <col min="4" max="4" width="10.85546875" customWidth="1"/>
    <col min="5" max="5" width="16.140625" customWidth="1"/>
    <col min="6" max="6" width="14.5703125" customWidth="1"/>
    <col min="7" max="7" width="16.28515625" customWidth="1"/>
    <col min="8" max="8" width="6.7109375" customWidth="1"/>
    <col min="9" max="9" width="11.28515625" customWidth="1"/>
    <col min="10" max="10" width="12" customWidth="1"/>
    <col min="11" max="11" width="11.28515625" customWidth="1"/>
    <col min="12" max="12" width="13.42578125" customWidth="1"/>
    <col min="13" max="13" width="12.28515625" customWidth="1"/>
    <col min="14" max="14" width="9.140625" customWidth="1"/>
    <col min="15" max="15" width="14.42578125" customWidth="1"/>
    <col min="16" max="16" width="14.85546875" customWidth="1"/>
    <col min="17" max="17" width="6.7109375" customWidth="1"/>
  </cols>
  <sheetData>
    <row r="1" spans="1:17" ht="46.5" customHeight="1" x14ac:dyDescent="0.25">
      <c r="A1" s="73" t="s">
        <v>40</v>
      </c>
      <c r="B1" s="74"/>
      <c r="C1" s="75" t="s">
        <v>38</v>
      </c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6"/>
      <c r="P1" s="76"/>
      <c r="Q1" s="77"/>
    </row>
    <row r="2" spans="1:17" ht="33" customHeight="1" x14ac:dyDescent="0.25">
      <c r="A2" s="78" t="s">
        <v>0</v>
      </c>
      <c r="B2" s="80" t="s">
        <v>1</v>
      </c>
      <c r="C2" s="81"/>
      <c r="D2" s="82"/>
      <c r="E2" s="83" t="s">
        <v>2</v>
      </c>
      <c r="F2" s="83" t="s">
        <v>3</v>
      </c>
      <c r="G2" s="83" t="s">
        <v>4</v>
      </c>
      <c r="H2" s="83" t="s">
        <v>5</v>
      </c>
      <c r="I2" s="80" t="s">
        <v>6</v>
      </c>
      <c r="J2" s="81"/>
      <c r="K2" s="82"/>
      <c r="L2" s="80" t="s">
        <v>7</v>
      </c>
      <c r="M2" s="81"/>
      <c r="N2" s="81"/>
      <c r="O2" s="82"/>
      <c r="P2" s="83" t="s">
        <v>8</v>
      </c>
      <c r="Q2" s="83" t="s">
        <v>9</v>
      </c>
    </row>
    <row r="3" spans="1:17" ht="155.25" customHeight="1" x14ac:dyDescent="0.25">
      <c r="A3" s="79"/>
      <c r="B3" s="12" t="s">
        <v>10</v>
      </c>
      <c r="C3" s="12" t="s">
        <v>11</v>
      </c>
      <c r="D3" s="12" t="s">
        <v>12</v>
      </c>
      <c r="E3" s="84"/>
      <c r="F3" s="84"/>
      <c r="G3" s="84"/>
      <c r="H3" s="84"/>
      <c r="I3" s="12" t="s">
        <v>13</v>
      </c>
      <c r="J3" s="12" t="s">
        <v>14</v>
      </c>
      <c r="K3" s="12" t="s">
        <v>15</v>
      </c>
      <c r="L3" s="35" t="s">
        <v>16</v>
      </c>
      <c r="M3" s="12" t="s">
        <v>17</v>
      </c>
      <c r="N3" s="12" t="s">
        <v>18</v>
      </c>
      <c r="O3" s="12" t="s">
        <v>19</v>
      </c>
      <c r="P3" s="84"/>
      <c r="Q3" s="84"/>
    </row>
    <row r="4" spans="1:17" ht="23.1" customHeight="1" x14ac:dyDescent="0.25">
      <c r="A4" s="31" t="s">
        <v>20</v>
      </c>
      <c r="B4" s="32">
        <v>98232</v>
      </c>
      <c r="C4" s="32">
        <v>181208.133332667</v>
      </c>
      <c r="D4" s="46">
        <v>91342.903000000006</v>
      </c>
      <c r="E4" s="30">
        <v>15247188</v>
      </c>
      <c r="F4" s="32">
        <v>14907623.274</v>
      </c>
      <c r="G4" s="32">
        <v>17046605.271000002</v>
      </c>
      <c r="H4" s="57">
        <v>87.45</v>
      </c>
      <c r="I4" s="33">
        <v>81086.677639600006</v>
      </c>
      <c r="J4" s="34">
        <v>3654.4070790000001</v>
      </c>
      <c r="K4" s="57">
        <v>84741.084718600003</v>
      </c>
      <c r="L4" s="33">
        <v>1344334.950062</v>
      </c>
      <c r="M4" s="34">
        <v>96265.720509570107</v>
      </c>
      <c r="N4" s="34">
        <v>3446.94542899</v>
      </c>
      <c r="O4" s="57">
        <v>1444047.6160005601</v>
      </c>
      <c r="P4" s="34">
        <v>1868571.5394609999</v>
      </c>
      <c r="Q4" s="57">
        <v>77.28</v>
      </c>
    </row>
    <row r="5" spans="1:17" ht="23.1" customHeight="1" x14ac:dyDescent="0.25">
      <c r="A5" s="65" t="s">
        <v>21</v>
      </c>
      <c r="B5" s="3">
        <v>89694</v>
      </c>
      <c r="C5" s="3">
        <v>165521.54656633301</v>
      </c>
      <c r="D5" s="2">
        <v>83735.523000000001</v>
      </c>
      <c r="E5" s="4">
        <v>14064693</v>
      </c>
      <c r="F5" s="3">
        <v>13878898.435000001</v>
      </c>
      <c r="G5" s="3">
        <v>15539012.676999999</v>
      </c>
      <c r="H5" s="5">
        <v>89.32</v>
      </c>
      <c r="I5" s="66">
        <v>85205.805275100007</v>
      </c>
      <c r="J5" s="66">
        <v>4407.8909781000002</v>
      </c>
      <c r="K5" s="5">
        <v>89613.696253200003</v>
      </c>
      <c r="L5" s="6">
        <v>1249060.7700149999</v>
      </c>
      <c r="M5" s="7">
        <v>102562.54498234</v>
      </c>
      <c r="N5" s="7">
        <v>4236.5101014477996</v>
      </c>
      <c r="O5" s="5">
        <v>1355859.82509879</v>
      </c>
      <c r="P5" s="7">
        <v>1758691.3626049999</v>
      </c>
      <c r="Q5" s="5">
        <v>77.09</v>
      </c>
    </row>
    <row r="6" spans="1:17" ht="23.1" customHeight="1" x14ac:dyDescent="0.25">
      <c r="A6" s="67" t="s">
        <v>22</v>
      </c>
      <c r="B6" s="9">
        <v>98992</v>
      </c>
      <c r="C6" s="9">
        <v>181669.35325633301</v>
      </c>
      <c r="D6" s="8">
        <v>91913.081875082207</v>
      </c>
      <c r="E6" s="10">
        <v>14369830</v>
      </c>
      <c r="F6" s="9">
        <v>14227485.7058782</v>
      </c>
      <c r="G6" s="9">
        <v>17054448.542019099</v>
      </c>
      <c r="H6" s="11">
        <v>83.42</v>
      </c>
      <c r="I6" s="13">
        <v>92545.168801599997</v>
      </c>
      <c r="J6" s="14">
        <v>4108.8654770000003</v>
      </c>
      <c r="K6" s="11">
        <v>96654.034278599996</v>
      </c>
      <c r="L6" s="13">
        <v>1279913.0848288201</v>
      </c>
      <c r="M6" s="14">
        <v>111983.402518124</v>
      </c>
      <c r="N6" s="14">
        <v>3859.728718027</v>
      </c>
      <c r="O6" s="11">
        <v>1395756.21606497</v>
      </c>
      <c r="P6" s="14">
        <v>1930029.6791280501</v>
      </c>
      <c r="Q6" s="11">
        <v>72.319999999999993</v>
      </c>
    </row>
    <row r="7" spans="1:17" ht="23.1" customHeight="1" x14ac:dyDescent="0.25">
      <c r="A7" s="65" t="s">
        <v>23</v>
      </c>
      <c r="B7" s="3">
        <v>97083</v>
      </c>
      <c r="C7" s="3">
        <v>178050.57662933299</v>
      </c>
      <c r="D7" s="2">
        <v>89659.689574290096</v>
      </c>
      <c r="E7" s="4">
        <v>13814816</v>
      </c>
      <c r="F7" s="3">
        <v>13694532.981969601</v>
      </c>
      <c r="G7" s="3">
        <v>16709881.4945205</v>
      </c>
      <c r="H7" s="5">
        <v>81.95</v>
      </c>
      <c r="I7" s="6">
        <v>70666.763203499999</v>
      </c>
      <c r="J7" s="7">
        <v>4027.2303879999999</v>
      </c>
      <c r="K7" s="5">
        <v>74693.993591499995</v>
      </c>
      <c r="L7" s="6">
        <v>1230317.8958667601</v>
      </c>
      <c r="M7" s="7">
        <v>81612.551709809006</v>
      </c>
      <c r="N7" s="7">
        <v>3886.280008142</v>
      </c>
      <c r="O7" s="5">
        <v>1315816.7275847199</v>
      </c>
      <c r="P7" s="7">
        <v>1887238.5655052499</v>
      </c>
      <c r="Q7" s="5">
        <v>69.72</v>
      </c>
    </row>
    <row r="8" spans="1:17" ht="30" customHeight="1" x14ac:dyDescent="0.25">
      <c r="A8" s="67" t="s">
        <v>24</v>
      </c>
      <c r="B8" s="9">
        <v>102953</v>
      </c>
      <c r="C8" s="9">
        <v>189975.37329333299</v>
      </c>
      <c r="D8" s="8">
        <v>95230.259642999998</v>
      </c>
      <c r="E8" s="10">
        <v>15389701</v>
      </c>
      <c r="F8" s="9">
        <v>15264649.046132</v>
      </c>
      <c r="G8" s="9">
        <v>17766080.516424</v>
      </c>
      <c r="H8" s="11">
        <v>85.92</v>
      </c>
      <c r="I8" s="13">
        <v>77078.110973477698</v>
      </c>
      <c r="J8" s="14">
        <v>4096.45525</v>
      </c>
      <c r="K8" s="11">
        <v>81174.566223477697</v>
      </c>
      <c r="L8" s="13">
        <v>1376031.9281182</v>
      </c>
      <c r="M8" s="14">
        <v>90563.128604733298</v>
      </c>
      <c r="N8" s="14">
        <v>4008.5326188834001</v>
      </c>
      <c r="O8" s="11">
        <v>1470603.58934182</v>
      </c>
      <c r="P8" s="14">
        <v>2018662.586753</v>
      </c>
      <c r="Q8" s="11">
        <v>72.849999999999994</v>
      </c>
    </row>
    <row r="9" spans="1:17" ht="23.1" customHeight="1" x14ac:dyDescent="0.25">
      <c r="A9" s="65" t="s">
        <v>25</v>
      </c>
      <c r="B9" s="3">
        <v>89852</v>
      </c>
      <c r="C9" s="3">
        <v>162752.22666700001</v>
      </c>
      <c r="D9" s="2">
        <v>82377.736699999994</v>
      </c>
      <c r="E9" s="4">
        <v>13458982</v>
      </c>
      <c r="F9" s="3">
        <v>13254136.168</v>
      </c>
      <c r="G9" s="3">
        <v>15470939.651000001</v>
      </c>
      <c r="H9" s="5">
        <v>85.67</v>
      </c>
      <c r="I9" s="6">
        <v>73065.199292999998</v>
      </c>
      <c r="J9" s="7">
        <v>4686.3575499999997</v>
      </c>
      <c r="K9" s="5">
        <v>77751.556842999998</v>
      </c>
      <c r="L9" s="6">
        <v>1196639.5438250001</v>
      </c>
      <c r="M9" s="7">
        <v>85822.971642999997</v>
      </c>
      <c r="N9" s="7">
        <v>4184.0577880000001</v>
      </c>
      <c r="O9" s="5">
        <v>1286646.5732559999</v>
      </c>
      <c r="P9" s="7">
        <v>1770067.2098020001</v>
      </c>
      <c r="Q9" s="5">
        <v>72.69</v>
      </c>
    </row>
    <row r="10" spans="1:17" ht="23.1" customHeight="1" x14ac:dyDescent="0.25">
      <c r="A10" s="67" t="s">
        <v>26</v>
      </c>
      <c r="B10" s="9">
        <v>82258</v>
      </c>
      <c r="C10" s="9">
        <v>147728.70333333401</v>
      </c>
      <c r="D10" s="8">
        <v>74384.089775</v>
      </c>
      <c r="E10" s="10">
        <v>11999411</v>
      </c>
      <c r="F10" s="9">
        <v>11642190.392929999</v>
      </c>
      <c r="G10" s="9">
        <v>14006725.172219999</v>
      </c>
      <c r="H10" s="11">
        <v>83.12</v>
      </c>
      <c r="I10" s="13">
        <v>74619.515676499999</v>
      </c>
      <c r="J10" s="14">
        <v>4529.5049799999997</v>
      </c>
      <c r="K10" s="11">
        <v>79149.020656499997</v>
      </c>
      <c r="L10" s="13">
        <v>1052092.2448819999</v>
      </c>
      <c r="M10" s="14">
        <v>87360.615137999906</v>
      </c>
      <c r="N10" s="14">
        <v>4084.315881256</v>
      </c>
      <c r="O10" s="11">
        <v>1143537.17590126</v>
      </c>
      <c r="P10" s="14">
        <v>1602246.5016099999</v>
      </c>
      <c r="Q10" s="11">
        <v>71.37</v>
      </c>
    </row>
    <row r="11" spans="1:17" ht="23.1" customHeight="1" x14ac:dyDescent="0.25">
      <c r="A11" s="65" t="s">
        <v>27</v>
      </c>
      <c r="B11" s="3">
        <v>86760</v>
      </c>
      <c r="C11" s="3">
        <v>157012.53996299999</v>
      </c>
      <c r="D11" s="2">
        <v>79069.802202999999</v>
      </c>
      <c r="E11" s="4">
        <v>12126478</v>
      </c>
      <c r="F11" s="3">
        <v>11731714.116149999</v>
      </c>
      <c r="G11" s="3">
        <v>14847019.032779001</v>
      </c>
      <c r="H11" s="5">
        <v>79.02</v>
      </c>
      <c r="I11" s="6">
        <v>73534.849110800002</v>
      </c>
      <c r="J11" s="7">
        <v>4211.917496</v>
      </c>
      <c r="K11" s="5">
        <v>77746.766606799996</v>
      </c>
      <c r="L11" s="6">
        <v>1060944.94796</v>
      </c>
      <c r="M11" s="7">
        <v>86226.567365049996</v>
      </c>
      <c r="N11" s="7">
        <v>3668.650445536</v>
      </c>
      <c r="O11" s="5">
        <v>1150840.1657705901</v>
      </c>
      <c r="P11" s="7">
        <v>1686498.5705570001</v>
      </c>
      <c r="Q11" s="5">
        <v>68.239999999999995</v>
      </c>
    </row>
    <row r="12" spans="1:17" ht="23.1" customHeight="1" x14ac:dyDescent="0.25">
      <c r="A12" s="67" t="s">
        <v>28</v>
      </c>
      <c r="B12" s="9"/>
      <c r="C12" s="9"/>
      <c r="D12" s="8"/>
      <c r="E12" s="10"/>
      <c r="F12" s="9"/>
      <c r="G12" s="9"/>
      <c r="H12" s="11"/>
      <c r="I12" s="13"/>
      <c r="J12" s="14"/>
      <c r="K12" s="14"/>
      <c r="L12" s="13"/>
      <c r="M12" s="14"/>
      <c r="N12" s="14"/>
      <c r="O12" s="11"/>
      <c r="P12" s="14"/>
      <c r="Q12" s="11"/>
    </row>
    <row r="13" spans="1:17" ht="23.1" customHeight="1" x14ac:dyDescent="0.25">
      <c r="A13" s="65" t="s">
        <v>29</v>
      </c>
      <c r="B13" s="3"/>
      <c r="C13" s="3"/>
      <c r="D13" s="2"/>
      <c r="E13" s="4"/>
      <c r="F13" s="3"/>
      <c r="G13" s="3"/>
      <c r="H13" s="7"/>
      <c r="I13" s="6"/>
      <c r="J13" s="7"/>
      <c r="K13" s="5"/>
      <c r="L13" s="6"/>
      <c r="M13" s="7"/>
      <c r="N13" s="7"/>
      <c r="O13" s="5"/>
      <c r="P13" s="7"/>
      <c r="Q13" s="5"/>
    </row>
    <row r="14" spans="1:17" ht="23.1" customHeight="1" x14ac:dyDescent="0.25">
      <c r="A14" s="67" t="s">
        <v>30</v>
      </c>
      <c r="B14" s="9"/>
      <c r="C14" s="9"/>
      <c r="D14" s="8"/>
      <c r="E14" s="10"/>
      <c r="F14" s="9"/>
      <c r="G14" s="9"/>
      <c r="H14" s="14"/>
      <c r="I14" s="13"/>
      <c r="J14" s="14"/>
      <c r="K14" s="11"/>
      <c r="L14" s="13"/>
      <c r="M14" s="14"/>
      <c r="N14" s="14"/>
      <c r="O14" s="11"/>
      <c r="P14" s="14"/>
      <c r="Q14" s="11"/>
    </row>
    <row r="15" spans="1:17" ht="23.1" customHeight="1" x14ac:dyDescent="0.25">
      <c r="A15" s="15" t="s">
        <v>31</v>
      </c>
      <c r="B15" s="16"/>
      <c r="C15" s="16"/>
      <c r="D15" s="17"/>
      <c r="E15" s="18"/>
      <c r="F15" s="16"/>
      <c r="G15" s="16"/>
      <c r="H15" s="19"/>
      <c r="I15" s="20"/>
      <c r="J15" s="21"/>
      <c r="K15" s="19"/>
      <c r="L15" s="20"/>
      <c r="M15" s="21"/>
      <c r="N15" s="21"/>
      <c r="O15" s="19"/>
      <c r="P15" s="7"/>
      <c r="Q15" s="5"/>
    </row>
    <row r="16" spans="1:17" ht="23.1" customHeight="1" x14ac:dyDescent="0.25">
      <c r="A16" s="22" t="s">
        <v>32</v>
      </c>
      <c r="B16" s="23">
        <f t="shared" ref="B16:G16" si="0">SUM(B4:B15)</f>
        <v>745824</v>
      </c>
      <c r="C16" s="23">
        <f t="shared" si="0"/>
        <v>1363918.453041333</v>
      </c>
      <c r="D16" s="23">
        <f t="shared" si="0"/>
        <v>687713.0857703723</v>
      </c>
      <c r="E16" s="23">
        <f t="shared" si="0"/>
        <v>110471099</v>
      </c>
      <c r="F16" s="23">
        <f t="shared" si="0"/>
        <v>108601230.12005979</v>
      </c>
      <c r="G16" s="23">
        <f t="shared" si="0"/>
        <v>128440712.35696259</v>
      </c>
      <c r="H16" s="24">
        <f t="shared" ref="H16" si="1">IFERROR(F16/G16*100," ")</f>
        <v>84.553587509103124</v>
      </c>
      <c r="I16" s="24">
        <f>SUM(I4:I15)</f>
        <v>627802.08997357765</v>
      </c>
      <c r="J16" s="24">
        <f>SUM(J4:J15)</f>
        <v>33722.629198100003</v>
      </c>
      <c r="K16" s="24">
        <f t="shared" ref="K16" si="2">IF(AND(ISBLANK(I16),ISBLANK(J16))=TRUE,"",I16+J16)</f>
        <v>661524.7191716776</v>
      </c>
      <c r="L16" s="24">
        <f>SUM(L4:L15)</f>
        <v>9789335.3655577805</v>
      </c>
      <c r="M16" s="24">
        <f>SUM(M4:M15)</f>
        <v>742397.50247062626</v>
      </c>
      <c r="N16" s="24">
        <f>SUM(N4:N15)</f>
        <v>31375.020990282199</v>
      </c>
      <c r="O16" s="24">
        <f t="shared" ref="O16" si="3">IF(AND(ISBLANK(L16),ISBLANK(M16),ISBLANK(N16))=TRUE,"",L16+M16+N16)</f>
        <v>10563107.889018688</v>
      </c>
      <c r="P16" s="25">
        <f>SUM(P4:P15)</f>
        <v>14522006.015421299</v>
      </c>
      <c r="Q16" s="25">
        <f t="shared" ref="Q16" si="4">IFERROR(O16/P16*100," ")</f>
        <v>72.738627692354953</v>
      </c>
    </row>
    <row r="17" spans="1:17" ht="20.100000000000001" customHeight="1" x14ac:dyDescent="0.25">
      <c r="A17" s="85" t="s">
        <v>37</v>
      </c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7"/>
    </row>
    <row r="18" spans="1:17" ht="15.75" x14ac:dyDescent="0.25">
      <c r="A18" s="70" t="s">
        <v>33</v>
      </c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2"/>
    </row>
    <row r="19" spans="1:17" ht="15.75" x14ac:dyDescent="0.25">
      <c r="A19" s="70" t="s">
        <v>34</v>
      </c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2"/>
    </row>
    <row r="20" spans="1:17" ht="51.75" customHeight="1" x14ac:dyDescent="0.25">
      <c r="A20" s="88" t="s">
        <v>40</v>
      </c>
      <c r="B20" s="89"/>
      <c r="C20" s="90" t="s">
        <v>39</v>
      </c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1"/>
      <c r="P20" s="91"/>
      <c r="Q20" s="92"/>
    </row>
    <row r="21" spans="1:17" ht="33" customHeight="1" x14ac:dyDescent="0.25">
      <c r="A21" s="93" t="s">
        <v>0</v>
      </c>
      <c r="B21" s="95" t="s">
        <v>1</v>
      </c>
      <c r="C21" s="96"/>
      <c r="D21" s="97"/>
      <c r="E21" s="98" t="s">
        <v>2</v>
      </c>
      <c r="F21" s="98" t="s">
        <v>3</v>
      </c>
      <c r="G21" s="98" t="s">
        <v>4</v>
      </c>
      <c r="H21" s="98" t="s">
        <v>5</v>
      </c>
      <c r="I21" s="95" t="s">
        <v>6</v>
      </c>
      <c r="J21" s="96"/>
      <c r="K21" s="97"/>
      <c r="L21" s="95" t="s">
        <v>7</v>
      </c>
      <c r="M21" s="96"/>
      <c r="N21" s="96"/>
      <c r="O21" s="97"/>
      <c r="P21" s="98" t="s">
        <v>8</v>
      </c>
      <c r="Q21" s="98" t="s">
        <v>9</v>
      </c>
    </row>
    <row r="22" spans="1:17" ht="150.75" customHeight="1" x14ac:dyDescent="0.25">
      <c r="A22" s="94"/>
      <c r="B22" s="26" t="s">
        <v>10</v>
      </c>
      <c r="C22" s="26" t="s">
        <v>11</v>
      </c>
      <c r="D22" s="26" t="s">
        <v>12</v>
      </c>
      <c r="E22" s="99"/>
      <c r="F22" s="99"/>
      <c r="G22" s="99"/>
      <c r="H22" s="99"/>
      <c r="I22" s="26" t="s">
        <v>13</v>
      </c>
      <c r="J22" s="26" t="s">
        <v>14</v>
      </c>
      <c r="K22" s="26" t="s">
        <v>15</v>
      </c>
      <c r="L22" s="36" t="s">
        <v>16</v>
      </c>
      <c r="M22" s="26" t="s">
        <v>17</v>
      </c>
      <c r="N22" s="26" t="s">
        <v>18</v>
      </c>
      <c r="O22" s="26" t="s">
        <v>19</v>
      </c>
      <c r="P22" s="99"/>
      <c r="Q22" s="99"/>
    </row>
    <row r="23" spans="1:17" ht="23.1" customHeight="1" x14ac:dyDescent="0.25">
      <c r="A23" s="68" t="s">
        <v>20</v>
      </c>
      <c r="B23" s="45">
        <v>570</v>
      </c>
      <c r="C23" s="47">
        <v>949.77999</v>
      </c>
      <c r="D23" s="48">
        <v>456.56299999999999</v>
      </c>
      <c r="E23" s="45">
        <v>50872</v>
      </c>
      <c r="F23" s="47">
        <v>30053.226999999999</v>
      </c>
      <c r="G23" s="47">
        <v>36216.627999999997</v>
      </c>
      <c r="H23" s="49">
        <v>82.98</v>
      </c>
      <c r="I23" s="50">
        <v>2209.2195090999999</v>
      </c>
      <c r="J23" s="51">
        <v>1.6379999999999999</v>
      </c>
      <c r="K23" s="49">
        <v>2210.8575090999998</v>
      </c>
      <c r="L23" s="50">
        <v>2729.0655139999999</v>
      </c>
      <c r="M23" s="51">
        <v>2922.1491540000002</v>
      </c>
      <c r="N23" s="51">
        <v>2.941033</v>
      </c>
      <c r="O23" s="49">
        <v>5654.1557009999997</v>
      </c>
      <c r="P23" s="50">
        <v>9659.6421019999998</v>
      </c>
      <c r="Q23" s="49">
        <v>58.53</v>
      </c>
    </row>
    <row r="24" spans="1:17" ht="23.1" customHeight="1" x14ac:dyDescent="0.25">
      <c r="A24" s="69" t="s">
        <v>21</v>
      </c>
      <c r="B24" s="54">
        <v>543</v>
      </c>
      <c r="C24" s="55">
        <v>856.79996666666705</v>
      </c>
      <c r="D24" s="60">
        <v>414.18680000000001</v>
      </c>
      <c r="E24" s="54">
        <v>49918</v>
      </c>
      <c r="F24" s="55">
        <v>30384.240000000002</v>
      </c>
      <c r="G24" s="55">
        <v>43300.017</v>
      </c>
      <c r="H24" s="52">
        <v>70.17</v>
      </c>
      <c r="I24" s="41">
        <v>1579.248936</v>
      </c>
      <c r="J24" s="42">
        <v>0.31892999999999999</v>
      </c>
      <c r="K24" s="52">
        <v>1579.5678660000001</v>
      </c>
      <c r="L24" s="41">
        <v>2749.1240950000001</v>
      </c>
      <c r="M24" s="42">
        <v>2019.44372776</v>
      </c>
      <c r="N24" s="42">
        <v>0.48412100000000002</v>
      </c>
      <c r="O24" s="52">
        <v>4769.0519437599996</v>
      </c>
      <c r="P24" s="41">
        <v>8012.7510110000003</v>
      </c>
      <c r="Q24" s="52">
        <v>59.52</v>
      </c>
    </row>
    <row r="25" spans="1:17" ht="23.1" customHeight="1" x14ac:dyDescent="0.25">
      <c r="A25" s="68" t="s">
        <v>22</v>
      </c>
      <c r="B25" s="56">
        <v>581</v>
      </c>
      <c r="C25" s="58">
        <v>908.61663333333297</v>
      </c>
      <c r="D25" s="59">
        <v>429.60215099999999</v>
      </c>
      <c r="E25" s="56">
        <v>49848</v>
      </c>
      <c r="F25" s="58">
        <v>28955.363000000001</v>
      </c>
      <c r="G25" s="58">
        <v>37411.311999999998</v>
      </c>
      <c r="H25" s="53">
        <v>77.400000000000006</v>
      </c>
      <c r="I25" s="39">
        <v>2089.8588399999999</v>
      </c>
      <c r="J25" s="40">
        <v>0.60499999999999998</v>
      </c>
      <c r="K25" s="53">
        <v>2090.4638399999999</v>
      </c>
      <c r="L25" s="39">
        <v>2648.9798949999999</v>
      </c>
      <c r="M25" s="40">
        <v>2573.0487779199998</v>
      </c>
      <c r="N25" s="40">
        <v>0.26983000000000001</v>
      </c>
      <c r="O25" s="53">
        <v>5222.2985029199999</v>
      </c>
      <c r="P25" s="39">
        <v>8707.0571099999997</v>
      </c>
      <c r="Q25" s="53">
        <v>59.98</v>
      </c>
    </row>
    <row r="26" spans="1:17" ht="23.1" customHeight="1" x14ac:dyDescent="0.25">
      <c r="A26" s="69" t="s">
        <v>23</v>
      </c>
      <c r="B26" s="54">
        <v>550</v>
      </c>
      <c r="C26" s="55">
        <v>827.41333299999997</v>
      </c>
      <c r="D26" s="60">
        <v>385.62310000000002</v>
      </c>
      <c r="E26" s="54">
        <v>51880</v>
      </c>
      <c r="F26" s="55">
        <v>30979.808000000001</v>
      </c>
      <c r="G26" s="55">
        <v>38564.748</v>
      </c>
      <c r="H26" s="52">
        <v>80.33</v>
      </c>
      <c r="I26" s="41">
        <v>1413.6352999999999</v>
      </c>
      <c r="J26" s="42">
        <v>0.13900000000000001</v>
      </c>
      <c r="K26" s="52">
        <v>1413.7743</v>
      </c>
      <c r="L26" s="41">
        <v>2836.5453050000001</v>
      </c>
      <c r="M26" s="42">
        <v>1734.2162307999999</v>
      </c>
      <c r="N26" s="42">
        <v>8.3678000000000002E-2</v>
      </c>
      <c r="O26" s="52">
        <v>4570.8452138000002</v>
      </c>
      <c r="P26" s="41">
        <v>7268.2870629999998</v>
      </c>
      <c r="Q26" s="52">
        <v>62.89</v>
      </c>
    </row>
    <row r="27" spans="1:17" ht="30" customHeight="1" x14ac:dyDescent="0.25">
      <c r="A27" s="68" t="s">
        <v>24</v>
      </c>
      <c r="B27" s="56">
        <v>562</v>
      </c>
      <c r="C27" s="58">
        <v>846.98283333333404</v>
      </c>
      <c r="D27" s="59">
        <v>398.4914</v>
      </c>
      <c r="E27" s="56">
        <v>53446</v>
      </c>
      <c r="F27" s="58">
        <v>30774.991000000002</v>
      </c>
      <c r="G27" s="58">
        <v>36168.675999999999</v>
      </c>
      <c r="H27" s="53">
        <v>85.09</v>
      </c>
      <c r="I27" s="39">
        <v>1833.3319200000001</v>
      </c>
      <c r="J27" s="40">
        <v>4.1000000000000002E-2</v>
      </c>
      <c r="K27" s="53">
        <v>1833.37292</v>
      </c>
      <c r="L27" s="39">
        <v>2832.6161849999999</v>
      </c>
      <c r="M27" s="40">
        <v>2323.657459</v>
      </c>
      <c r="N27" s="40">
        <v>1.1963490000000001</v>
      </c>
      <c r="O27" s="53">
        <v>5157.4699929999997</v>
      </c>
      <c r="P27" s="39">
        <v>7808.044476</v>
      </c>
      <c r="Q27" s="53">
        <v>66.05</v>
      </c>
    </row>
    <row r="28" spans="1:17" ht="23.1" customHeight="1" x14ac:dyDescent="0.25">
      <c r="A28" s="69" t="s">
        <v>25</v>
      </c>
      <c r="B28" s="54">
        <v>589</v>
      </c>
      <c r="C28" s="55">
        <v>912.19666700000005</v>
      </c>
      <c r="D28" s="60">
        <v>462.666</v>
      </c>
      <c r="E28" s="54">
        <v>55533</v>
      </c>
      <c r="F28" s="55">
        <v>34669.5</v>
      </c>
      <c r="G28" s="55">
        <v>38892.116999999998</v>
      </c>
      <c r="H28" s="52">
        <v>89.14</v>
      </c>
      <c r="I28" s="41">
        <v>2416.6682799999999</v>
      </c>
      <c r="J28" s="42">
        <v>15.169</v>
      </c>
      <c r="K28" s="52">
        <v>2431.8372800000002</v>
      </c>
      <c r="L28" s="41">
        <v>3259.8705599999998</v>
      </c>
      <c r="M28" s="42">
        <v>3166.046863</v>
      </c>
      <c r="N28" s="42">
        <v>14.660893</v>
      </c>
      <c r="O28" s="52">
        <v>6440.5783160000001</v>
      </c>
      <c r="P28" s="41">
        <v>9753.3184650000003</v>
      </c>
      <c r="Q28" s="52">
        <v>66.03</v>
      </c>
    </row>
    <row r="29" spans="1:17" ht="23.1" customHeight="1" x14ac:dyDescent="0.25">
      <c r="A29" s="68" t="s">
        <v>26</v>
      </c>
      <c r="B29" s="56">
        <v>499</v>
      </c>
      <c r="C29" s="58">
        <v>762.04666733333295</v>
      </c>
      <c r="D29" s="59">
        <v>365.64850000000001</v>
      </c>
      <c r="E29" s="56">
        <v>48289</v>
      </c>
      <c r="F29" s="58">
        <v>27426.682000000001</v>
      </c>
      <c r="G29" s="58">
        <v>32697.356</v>
      </c>
      <c r="H29" s="53">
        <v>83.88</v>
      </c>
      <c r="I29" s="39">
        <v>1549.7094300000001</v>
      </c>
      <c r="J29" s="40">
        <v>8.3239999999999998</v>
      </c>
      <c r="K29" s="53">
        <v>1558.03343</v>
      </c>
      <c r="L29" s="39">
        <v>2445.091805</v>
      </c>
      <c r="M29" s="40">
        <v>2059.4443620000002</v>
      </c>
      <c r="N29" s="40">
        <v>5.6765530000000002</v>
      </c>
      <c r="O29" s="53">
        <v>4510.2127200000004</v>
      </c>
      <c r="P29" s="39">
        <v>6546.3551120000002</v>
      </c>
      <c r="Q29" s="53">
        <v>68.900000000000006</v>
      </c>
    </row>
    <row r="30" spans="1:17" ht="23.1" customHeight="1" x14ac:dyDescent="0.25">
      <c r="A30" s="69" t="s">
        <v>27</v>
      </c>
      <c r="B30" s="54">
        <v>541</v>
      </c>
      <c r="C30" s="55">
        <v>787.30329933333303</v>
      </c>
      <c r="D30" s="60">
        <v>380.88729999999998</v>
      </c>
      <c r="E30" s="54">
        <v>47889</v>
      </c>
      <c r="F30" s="55">
        <v>26873.494999999999</v>
      </c>
      <c r="G30" s="55">
        <v>33803.53</v>
      </c>
      <c r="H30" s="52">
        <v>79.5</v>
      </c>
      <c r="I30" s="41">
        <v>1603.5274999999999</v>
      </c>
      <c r="J30" s="42">
        <v>25.047999999999998</v>
      </c>
      <c r="K30" s="42">
        <v>1628.5754999999999</v>
      </c>
      <c r="L30" s="41">
        <v>2419.42193</v>
      </c>
      <c r="M30" s="42">
        <v>2085.5061620000001</v>
      </c>
      <c r="N30" s="42">
        <v>5.589677</v>
      </c>
      <c r="O30" s="52">
        <v>4510.517769</v>
      </c>
      <c r="P30" s="41">
        <v>6728.5566440000002</v>
      </c>
      <c r="Q30" s="52">
        <v>67.040000000000006</v>
      </c>
    </row>
    <row r="31" spans="1:17" ht="23.1" customHeight="1" x14ac:dyDescent="0.25">
      <c r="A31" s="68" t="s">
        <v>28</v>
      </c>
      <c r="B31" s="56"/>
      <c r="C31" s="58"/>
      <c r="D31" s="59"/>
      <c r="E31" s="56"/>
      <c r="F31" s="58"/>
      <c r="G31" s="58"/>
      <c r="H31" s="53"/>
      <c r="I31" s="39"/>
      <c r="J31" s="40"/>
      <c r="K31" s="53"/>
      <c r="L31" s="39"/>
      <c r="M31" s="40"/>
      <c r="N31" s="40"/>
      <c r="O31" s="53"/>
      <c r="P31" s="39"/>
      <c r="Q31" s="53"/>
    </row>
    <row r="32" spans="1:17" ht="23.1" customHeight="1" x14ac:dyDescent="0.25">
      <c r="A32" s="69" t="s">
        <v>29</v>
      </c>
      <c r="B32" s="54"/>
      <c r="C32" s="55"/>
      <c r="D32" s="60"/>
      <c r="E32" s="54"/>
      <c r="F32" s="55"/>
      <c r="G32" s="55"/>
      <c r="H32" s="52"/>
      <c r="I32" s="41"/>
      <c r="J32" s="42"/>
      <c r="K32" s="52"/>
      <c r="L32" s="41"/>
      <c r="M32" s="42"/>
      <c r="N32" s="42"/>
      <c r="O32" s="52"/>
      <c r="P32" s="41"/>
      <c r="Q32" s="52"/>
    </row>
    <row r="33" spans="1:17" ht="23.1" customHeight="1" x14ac:dyDescent="0.25">
      <c r="A33" s="68" t="s">
        <v>30</v>
      </c>
      <c r="B33" s="56"/>
      <c r="C33" s="58"/>
      <c r="D33" s="59"/>
      <c r="E33" s="56"/>
      <c r="F33" s="58"/>
      <c r="G33" s="58"/>
      <c r="H33" s="53"/>
      <c r="I33" s="39"/>
      <c r="J33" s="40"/>
      <c r="K33" s="53"/>
      <c r="L33" s="39"/>
      <c r="M33" s="40"/>
      <c r="N33" s="40"/>
      <c r="O33" s="53"/>
      <c r="P33" s="39"/>
      <c r="Q33" s="53"/>
    </row>
    <row r="34" spans="1:17" ht="23.1" customHeight="1" x14ac:dyDescent="0.25">
      <c r="A34" s="69" t="s">
        <v>31</v>
      </c>
      <c r="B34" s="61"/>
      <c r="C34" s="62"/>
      <c r="D34" s="63"/>
      <c r="E34" s="61"/>
      <c r="F34" s="62"/>
      <c r="G34" s="62"/>
      <c r="H34" s="64"/>
      <c r="I34" s="43"/>
      <c r="J34" s="44"/>
      <c r="K34" s="64"/>
      <c r="L34" s="43"/>
      <c r="M34" s="44"/>
      <c r="N34" s="44"/>
      <c r="O34" s="52"/>
      <c r="P34" s="41"/>
      <c r="Q34" s="52"/>
    </row>
    <row r="35" spans="1:17" ht="23.1" customHeight="1" x14ac:dyDescent="0.25">
      <c r="A35" s="27" t="s">
        <v>32</v>
      </c>
      <c r="B35" s="37">
        <f t="shared" ref="B35:G35" si="5">SUM(B23:B34)</f>
        <v>4435</v>
      </c>
      <c r="C35" s="38">
        <f t="shared" si="5"/>
        <v>6851.1393900000003</v>
      </c>
      <c r="D35" s="38">
        <f t="shared" si="5"/>
        <v>3293.6682510000005</v>
      </c>
      <c r="E35" s="37">
        <f t="shared" si="5"/>
        <v>407675</v>
      </c>
      <c r="F35" s="38">
        <f t="shared" si="5"/>
        <v>240117.30600000001</v>
      </c>
      <c r="G35" s="38">
        <f t="shared" si="5"/>
        <v>297054.38399999996</v>
      </c>
      <c r="H35" s="37">
        <f t="shared" ref="H35" si="6">IFERROR(F35/G35*100," ")</f>
        <v>80.832776398277304</v>
      </c>
      <c r="I35" s="38">
        <f t="shared" ref="I35:N35" si="7">SUM(I23:I34)</f>
        <v>14695.199715100001</v>
      </c>
      <c r="J35" s="38">
        <f t="shared" si="7"/>
        <v>51.282929999999993</v>
      </c>
      <c r="K35" s="38">
        <f t="shared" si="7"/>
        <v>14746.482645100001</v>
      </c>
      <c r="L35" s="38">
        <f t="shared" si="7"/>
        <v>21920.715289</v>
      </c>
      <c r="M35" s="38">
        <f t="shared" si="7"/>
        <v>18883.512736480003</v>
      </c>
      <c r="N35" s="38">
        <f t="shared" si="7"/>
        <v>30.902134000000004</v>
      </c>
      <c r="O35" s="38">
        <f t="shared" ref="O35" si="8">IF(AND(ISBLANK(L35),ISBLANK(M35),ISBLANK(N35))=TRUE,"",L35+M35+N35)</f>
        <v>40835.130159480002</v>
      </c>
      <c r="P35" s="38">
        <f>SUM(P23:P34)</f>
        <v>64484.011983000004</v>
      </c>
      <c r="Q35" s="37">
        <f t="shared" ref="Q35" si="9">IFERROR(O35/P35*100," ")</f>
        <v>63.325976321456892</v>
      </c>
    </row>
    <row r="36" spans="1:17" ht="18.75" customHeight="1" x14ac:dyDescent="0.25">
      <c r="A36" s="85" t="s">
        <v>37</v>
      </c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7"/>
    </row>
    <row r="37" spans="1:17" ht="15.75" x14ac:dyDescent="0.25">
      <c r="A37" s="70" t="s">
        <v>33</v>
      </c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2"/>
    </row>
    <row r="38" spans="1:17" ht="15.75" x14ac:dyDescent="0.25">
      <c r="A38" s="70" t="s">
        <v>34</v>
      </c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2"/>
    </row>
    <row r="39" spans="1:17" ht="40.5" customHeight="1" x14ac:dyDescent="0.25"/>
    <row r="40" spans="1:17" ht="28.9" customHeight="1" x14ac:dyDescent="0.3">
      <c r="O40" s="1" t="s">
        <v>36</v>
      </c>
    </row>
    <row r="41" spans="1:17" ht="178.5" customHeight="1" x14ac:dyDescent="0.3">
      <c r="H41" s="28"/>
      <c r="Q41" s="28"/>
    </row>
    <row r="42" spans="1:17" ht="25.5" customHeight="1" x14ac:dyDescent="0.25"/>
    <row r="43" spans="1:17" ht="25.5" customHeight="1" x14ac:dyDescent="0.3">
      <c r="H43" s="28"/>
      <c r="Q43" s="28"/>
    </row>
    <row r="44" spans="1:17" ht="25.5" customHeight="1" x14ac:dyDescent="0.25"/>
    <row r="45" spans="1:17" ht="25.5" customHeight="1" x14ac:dyDescent="0.3">
      <c r="H45" s="28"/>
      <c r="Q45" s="28"/>
    </row>
    <row r="46" spans="1:17" ht="25.5" customHeight="1" x14ac:dyDescent="0.25"/>
    <row r="47" spans="1:17" ht="25.5" customHeight="1" x14ac:dyDescent="0.3">
      <c r="H47" s="28"/>
      <c r="Q47" s="28"/>
    </row>
    <row r="48" spans="1:17" ht="25.5" customHeight="1" x14ac:dyDescent="0.25"/>
    <row r="49" spans="8:17" ht="25.5" customHeight="1" x14ac:dyDescent="0.3">
      <c r="H49" s="28"/>
      <c r="Q49" s="28"/>
    </row>
    <row r="50" spans="8:17" ht="25.5" customHeight="1" x14ac:dyDescent="0.25"/>
    <row r="51" spans="8:17" ht="25.5" customHeight="1" x14ac:dyDescent="0.3">
      <c r="H51" s="28"/>
      <c r="Q51" s="28"/>
    </row>
    <row r="52" spans="8:17" ht="25.5" customHeight="1" x14ac:dyDescent="0.25"/>
    <row r="53" spans="8:17" ht="25.5" customHeight="1" x14ac:dyDescent="0.3">
      <c r="H53" s="28"/>
      <c r="Q53" s="28"/>
    </row>
    <row r="54" spans="8:17" ht="25.5" customHeight="1" x14ac:dyDescent="0.25"/>
    <row r="55" spans="8:17" ht="22.5" customHeight="1" x14ac:dyDescent="0.3">
      <c r="H55" s="28"/>
      <c r="Q55" s="28"/>
    </row>
    <row r="56" spans="8:17" ht="22.5" customHeight="1" x14ac:dyDescent="0.25"/>
    <row r="57" spans="8:17" ht="22.5" customHeight="1" x14ac:dyDescent="0.3">
      <c r="H57" s="28"/>
      <c r="Q57" s="28"/>
    </row>
    <row r="58" spans="8:17" ht="47.25" customHeight="1" x14ac:dyDescent="0.3">
      <c r="H58" s="28"/>
      <c r="Q58" s="28"/>
    </row>
    <row r="59" spans="8:17" ht="28.9" customHeight="1" x14ac:dyDescent="0.3">
      <c r="H59" s="28"/>
      <c r="Q59" s="28"/>
    </row>
    <row r="60" spans="8:17" ht="164.25" customHeight="1" x14ac:dyDescent="0.3">
      <c r="H60" s="28"/>
      <c r="Q60" s="28"/>
    </row>
    <row r="61" spans="8:17" ht="24.75" customHeight="1" x14ac:dyDescent="0.3">
      <c r="H61" s="28"/>
      <c r="Q61" s="28"/>
    </row>
    <row r="62" spans="8:17" ht="24.75" customHeight="1" x14ac:dyDescent="0.3">
      <c r="H62" s="28"/>
      <c r="Q62" s="28"/>
    </row>
    <row r="63" spans="8:17" ht="24.75" customHeight="1" x14ac:dyDescent="0.3">
      <c r="H63" s="28"/>
      <c r="Q63" s="28"/>
    </row>
    <row r="64" spans="8:17" ht="24.75" customHeight="1" x14ac:dyDescent="0.25"/>
    <row r="65" ht="24.75" customHeight="1" x14ac:dyDescent="0.25"/>
    <row r="66" ht="24.75" customHeight="1" x14ac:dyDescent="0.25"/>
    <row r="67" ht="24.75" customHeight="1" x14ac:dyDescent="0.25"/>
    <row r="68" ht="24.75" customHeight="1" x14ac:dyDescent="0.25"/>
    <row r="69" ht="24.75" customHeight="1" x14ac:dyDescent="0.25"/>
    <row r="70" ht="24.75" customHeight="1" x14ac:dyDescent="0.25"/>
    <row r="71" ht="24.75" customHeight="1" x14ac:dyDescent="0.25"/>
    <row r="72" ht="24.75" customHeight="1" x14ac:dyDescent="0.25"/>
    <row r="73" ht="24.75" customHeight="1" x14ac:dyDescent="0.25"/>
    <row r="83" spans="8:17" ht="18.75" x14ac:dyDescent="0.3">
      <c r="H83" s="28"/>
      <c r="Q83" s="28"/>
    </row>
    <row r="86" spans="8:17" ht="18.75" x14ac:dyDescent="0.3">
      <c r="H86" s="28"/>
      <c r="Q86" s="28"/>
    </row>
    <row r="88" spans="8:17" ht="18.75" x14ac:dyDescent="0.3">
      <c r="H88" s="28"/>
      <c r="Q88" s="28"/>
    </row>
    <row r="90" spans="8:17" ht="18.75" x14ac:dyDescent="0.3">
      <c r="H90" s="28"/>
      <c r="Q90" s="28"/>
    </row>
    <row r="92" spans="8:17" ht="18.75" x14ac:dyDescent="0.3">
      <c r="H92" s="28"/>
      <c r="Q92" s="28"/>
    </row>
    <row r="94" spans="8:17" ht="18.75" x14ac:dyDescent="0.3">
      <c r="H94" s="28"/>
      <c r="Q94" s="28"/>
    </row>
    <row r="96" spans="8:17" ht="18.75" x14ac:dyDescent="0.3">
      <c r="H96" s="28"/>
      <c r="Q96" s="28"/>
    </row>
    <row r="98" spans="8:17" ht="18.75" x14ac:dyDescent="0.3">
      <c r="H98" s="28"/>
      <c r="Q98" s="28"/>
    </row>
    <row r="100" spans="8:17" ht="18.75" x14ac:dyDescent="0.3">
      <c r="H100" s="28"/>
      <c r="Q100" s="28"/>
    </row>
    <row r="102" spans="8:17" ht="18.75" x14ac:dyDescent="0.3">
      <c r="H102" s="28"/>
      <c r="Q102" s="28"/>
    </row>
    <row r="103" spans="8:17" ht="18.75" x14ac:dyDescent="0.3">
      <c r="Q103" s="28"/>
    </row>
    <row r="104" spans="8:17" ht="18.75" x14ac:dyDescent="0.3">
      <c r="H104" s="28"/>
      <c r="Q104" s="28"/>
    </row>
    <row r="105" spans="8:17" ht="18.75" x14ac:dyDescent="0.3">
      <c r="H105" s="28"/>
      <c r="Q105" s="28"/>
    </row>
    <row r="106" spans="8:17" ht="18.75" x14ac:dyDescent="0.3">
      <c r="H106" s="28"/>
      <c r="Q106" s="28"/>
    </row>
    <row r="107" spans="8:17" ht="18.75" x14ac:dyDescent="0.3">
      <c r="H107" s="28"/>
      <c r="Q107" s="28"/>
    </row>
    <row r="108" spans="8:17" ht="18.75" x14ac:dyDescent="0.3">
      <c r="H108" s="28"/>
      <c r="Q108" s="28"/>
    </row>
    <row r="131" spans="8:17" ht="18.75" x14ac:dyDescent="0.3">
      <c r="H131" s="28"/>
      <c r="Q131" s="28"/>
    </row>
    <row r="134" spans="8:17" ht="18.75" x14ac:dyDescent="0.3">
      <c r="H134" s="28"/>
      <c r="Q134" s="28"/>
    </row>
    <row r="136" spans="8:17" ht="18.75" x14ac:dyDescent="0.3">
      <c r="H136" s="28"/>
      <c r="Q136" s="28"/>
    </row>
    <row r="138" spans="8:17" ht="18.75" x14ac:dyDescent="0.3">
      <c r="H138" s="28"/>
      <c r="Q138" s="28"/>
    </row>
    <row r="140" spans="8:17" ht="18.75" x14ac:dyDescent="0.3">
      <c r="H140" s="28"/>
      <c r="Q140" s="28"/>
    </row>
    <row r="142" spans="8:17" ht="18.75" x14ac:dyDescent="0.3">
      <c r="H142" s="28"/>
      <c r="Q142" s="28"/>
    </row>
    <row r="144" spans="8:17" ht="18.75" x14ac:dyDescent="0.3">
      <c r="H144" s="28"/>
      <c r="Q144" s="28"/>
    </row>
    <row r="146" spans="8:17" ht="18.75" x14ac:dyDescent="0.3">
      <c r="H146" s="28"/>
      <c r="Q146" s="28"/>
    </row>
    <row r="148" spans="8:17" ht="18.75" x14ac:dyDescent="0.3">
      <c r="H148" s="28"/>
      <c r="Q148" s="28"/>
    </row>
    <row r="150" spans="8:17" ht="18.75" x14ac:dyDescent="0.3">
      <c r="H150" s="28"/>
      <c r="Q150" s="28"/>
    </row>
    <row r="152" spans="8:17" ht="18.75" x14ac:dyDescent="0.3">
      <c r="H152" s="28"/>
      <c r="Q152" s="28"/>
    </row>
    <row r="154" spans="8:17" ht="18.75" x14ac:dyDescent="0.3">
      <c r="H154" s="28"/>
      <c r="Q154" s="28"/>
    </row>
    <row r="156" spans="8:17" ht="18.75" x14ac:dyDescent="0.3">
      <c r="H156" s="28"/>
      <c r="Q156" s="28"/>
    </row>
    <row r="179" spans="8:17" ht="18.75" x14ac:dyDescent="0.3">
      <c r="H179" s="28"/>
      <c r="Q179" s="28"/>
    </row>
    <row r="181" spans="8:17" ht="18.75" x14ac:dyDescent="0.3">
      <c r="H181" s="28"/>
      <c r="Q181" s="28"/>
    </row>
    <row r="182" spans="8:17" ht="18.75" x14ac:dyDescent="0.3">
      <c r="H182" s="28"/>
      <c r="Q182" s="28"/>
    </row>
    <row r="183" spans="8:17" ht="18.75" x14ac:dyDescent="0.3">
      <c r="H183" s="28"/>
      <c r="Q183" s="28"/>
    </row>
    <row r="184" spans="8:17" ht="18.75" x14ac:dyDescent="0.3">
      <c r="H184" s="28"/>
      <c r="Q184" s="28"/>
    </row>
    <row r="185" spans="8:17" ht="18.75" x14ac:dyDescent="0.3">
      <c r="H185" s="28"/>
      <c r="Q185" s="28"/>
    </row>
    <row r="186" spans="8:17" ht="18.75" x14ac:dyDescent="0.3">
      <c r="H186" s="28"/>
      <c r="Q186" s="28"/>
    </row>
    <row r="187" spans="8:17" ht="18.75" x14ac:dyDescent="0.3">
      <c r="H187" s="28"/>
      <c r="Q187" s="28"/>
    </row>
    <row r="188" spans="8:17" ht="18.75" x14ac:dyDescent="0.3">
      <c r="H188" s="28"/>
      <c r="Q188" s="28"/>
    </row>
    <row r="189" spans="8:17" ht="18.75" x14ac:dyDescent="0.3">
      <c r="H189" s="28"/>
      <c r="Q189" s="28"/>
    </row>
    <row r="190" spans="8:17" ht="18.75" x14ac:dyDescent="0.3">
      <c r="H190" s="28"/>
      <c r="Q190" s="28"/>
    </row>
    <row r="191" spans="8:17" ht="18.75" x14ac:dyDescent="0.3">
      <c r="H191" s="28"/>
      <c r="Q191" s="28"/>
    </row>
    <row r="192" spans="8:17" ht="18.75" x14ac:dyDescent="0.3">
      <c r="H192" s="28"/>
      <c r="Q192" s="28"/>
    </row>
    <row r="193" spans="8:17" ht="18.75" x14ac:dyDescent="0.3">
      <c r="H193" s="28"/>
      <c r="Q193" s="28"/>
    </row>
    <row r="194" spans="8:17" ht="18.75" x14ac:dyDescent="0.3">
      <c r="H194" s="28"/>
      <c r="Q194" s="28"/>
    </row>
    <row r="195" spans="8:17" ht="18.75" x14ac:dyDescent="0.3">
      <c r="H195" s="28"/>
      <c r="Q195" s="28"/>
    </row>
    <row r="196" spans="8:17" ht="18.75" x14ac:dyDescent="0.3">
      <c r="H196" s="28"/>
      <c r="Q196" s="28"/>
    </row>
    <row r="197" spans="8:17" ht="18.75" x14ac:dyDescent="0.3">
      <c r="H197" s="28"/>
      <c r="Q197" s="28"/>
    </row>
    <row r="198" spans="8:17" ht="18.75" x14ac:dyDescent="0.3">
      <c r="H198" s="28"/>
      <c r="Q198" s="28"/>
    </row>
    <row r="199" spans="8:17" ht="18.75" x14ac:dyDescent="0.3">
      <c r="H199" s="28"/>
      <c r="Q199" s="28"/>
    </row>
    <row r="200" spans="8:17" ht="18.75" x14ac:dyDescent="0.3">
      <c r="H200" s="28"/>
      <c r="Q200" s="28"/>
    </row>
    <row r="201" spans="8:17" ht="18.75" x14ac:dyDescent="0.3">
      <c r="H201" s="28"/>
      <c r="Q201" s="28"/>
    </row>
    <row r="202" spans="8:17" ht="18.75" x14ac:dyDescent="0.3">
      <c r="H202" s="28"/>
      <c r="Q202" s="28"/>
    </row>
    <row r="203" spans="8:17" ht="18.75" x14ac:dyDescent="0.3">
      <c r="H203" s="28"/>
      <c r="Q203" s="28"/>
    </row>
    <row r="204" spans="8:17" ht="18.75" x14ac:dyDescent="0.3">
      <c r="H204" s="28"/>
      <c r="Q204" s="28"/>
    </row>
    <row r="227" spans="8:17" ht="18.75" x14ac:dyDescent="0.3">
      <c r="H227" s="28"/>
      <c r="Q227" s="28"/>
    </row>
    <row r="230" spans="8:17" ht="18.75" x14ac:dyDescent="0.3">
      <c r="H230" s="28"/>
      <c r="Q230" s="28"/>
    </row>
    <row r="232" spans="8:17" ht="18.75" x14ac:dyDescent="0.3">
      <c r="H232" s="28"/>
      <c r="Q232" s="28"/>
    </row>
    <row r="233" spans="8:17" ht="18.75" x14ac:dyDescent="0.3">
      <c r="H233" s="28"/>
    </row>
    <row r="234" spans="8:17" ht="18.75" x14ac:dyDescent="0.3">
      <c r="H234" s="28"/>
      <c r="Q234" s="28"/>
    </row>
    <row r="236" spans="8:17" ht="18.75" x14ac:dyDescent="0.3">
      <c r="H236" s="28"/>
      <c r="Q236" s="28"/>
    </row>
    <row r="238" spans="8:17" ht="18.75" x14ac:dyDescent="0.3">
      <c r="H238" s="28"/>
      <c r="Q238" s="28"/>
    </row>
    <row r="240" spans="8:17" ht="18.75" x14ac:dyDescent="0.3">
      <c r="H240" s="28"/>
      <c r="Q240" s="28"/>
    </row>
    <row r="242" spans="8:17" ht="18.75" x14ac:dyDescent="0.3">
      <c r="H242" s="28"/>
      <c r="Q242" s="28"/>
    </row>
    <row r="244" spans="8:17" ht="18.75" x14ac:dyDescent="0.3">
      <c r="H244" s="28"/>
      <c r="Q244" s="28"/>
    </row>
    <row r="246" spans="8:17" ht="18.75" x14ac:dyDescent="0.3">
      <c r="H246" s="28"/>
      <c r="Q246" s="28"/>
    </row>
    <row r="247" spans="8:17" ht="18.75" x14ac:dyDescent="0.3">
      <c r="H247" s="28"/>
      <c r="Q247" s="28"/>
    </row>
    <row r="248" spans="8:17" ht="18.75" x14ac:dyDescent="0.3">
      <c r="H248" s="28"/>
      <c r="Q248" s="28"/>
    </row>
    <row r="249" spans="8:17" ht="18.75" x14ac:dyDescent="0.3">
      <c r="H249" s="28"/>
      <c r="Q249" s="28"/>
    </row>
    <row r="250" spans="8:17" ht="18.75" x14ac:dyDescent="0.3">
      <c r="H250" s="28"/>
      <c r="Q250" s="28"/>
    </row>
    <row r="251" spans="8:17" ht="18.75" x14ac:dyDescent="0.3">
      <c r="H251" s="28"/>
      <c r="Q251" s="28"/>
    </row>
    <row r="252" spans="8:17" ht="18.75" x14ac:dyDescent="0.3">
      <c r="H252" s="28"/>
      <c r="Q252" s="28"/>
    </row>
    <row r="254" spans="8:17" ht="18.75" x14ac:dyDescent="0.3">
      <c r="H254" s="28"/>
    </row>
    <row r="273" spans="8:17" ht="18.75" x14ac:dyDescent="0.3">
      <c r="H273" s="28"/>
      <c r="Q273" s="28"/>
    </row>
    <row r="276" spans="8:17" ht="18.75" x14ac:dyDescent="0.3">
      <c r="H276" s="28"/>
      <c r="Q276" s="28"/>
    </row>
    <row r="278" spans="8:17" ht="18.75" x14ac:dyDescent="0.3">
      <c r="H278" s="28"/>
      <c r="Q278" s="28"/>
    </row>
    <row r="280" spans="8:17" ht="18.75" x14ac:dyDescent="0.3">
      <c r="H280" s="28"/>
      <c r="Q280" s="28"/>
    </row>
    <row r="282" spans="8:17" ht="18.75" x14ac:dyDescent="0.3">
      <c r="H282" s="28"/>
      <c r="Q282" s="28"/>
    </row>
    <row r="284" spans="8:17" ht="18.75" x14ac:dyDescent="0.3">
      <c r="H284" s="28"/>
      <c r="Q284" s="28"/>
    </row>
    <row r="286" spans="8:17" ht="18.75" x14ac:dyDescent="0.3">
      <c r="H286" s="28"/>
      <c r="Q286" s="28"/>
    </row>
    <row r="288" spans="8:17" ht="18.75" x14ac:dyDescent="0.3">
      <c r="H288" s="28"/>
      <c r="Q288" s="28"/>
    </row>
    <row r="290" spans="8:17" ht="18.75" x14ac:dyDescent="0.3">
      <c r="H290" s="28"/>
      <c r="Q290" s="28"/>
    </row>
    <row r="292" spans="8:17" ht="18.75" x14ac:dyDescent="0.3">
      <c r="H292" s="28"/>
      <c r="Q292" s="28"/>
    </row>
    <row r="294" spans="8:17" ht="18.75" x14ac:dyDescent="0.3">
      <c r="H294" s="28"/>
      <c r="Q294" s="28"/>
    </row>
    <row r="296" spans="8:17" ht="18.75" x14ac:dyDescent="0.3">
      <c r="H296" s="28"/>
      <c r="Q296" s="28"/>
    </row>
    <row r="298" spans="8:17" ht="18.75" x14ac:dyDescent="0.3">
      <c r="H298" s="28"/>
      <c r="Q298" s="28"/>
    </row>
    <row r="324" spans="8:17" ht="18.75" x14ac:dyDescent="0.3">
      <c r="Q324" s="28"/>
    </row>
    <row r="326" spans="8:17" ht="18.75" x14ac:dyDescent="0.3">
      <c r="H326" s="28"/>
      <c r="Q326" s="28"/>
    </row>
    <row r="328" spans="8:17" ht="18.75" x14ac:dyDescent="0.3">
      <c r="H328" s="28"/>
    </row>
    <row r="330" spans="8:17" ht="18.75" x14ac:dyDescent="0.3">
      <c r="H330" s="28"/>
      <c r="Q330" s="28"/>
    </row>
    <row r="358" spans="8:17" ht="18.75" x14ac:dyDescent="0.3">
      <c r="H358" s="28"/>
    </row>
    <row r="360" spans="8:17" ht="18.75" x14ac:dyDescent="0.3">
      <c r="Q360" s="28"/>
    </row>
    <row r="361" spans="8:17" ht="18.75" x14ac:dyDescent="0.3">
      <c r="Q361" s="28"/>
    </row>
    <row r="362" spans="8:17" ht="18.75" x14ac:dyDescent="0.3">
      <c r="Q362" s="28"/>
    </row>
    <row r="363" spans="8:17" ht="18.75" x14ac:dyDescent="0.3">
      <c r="Q363" s="28"/>
    </row>
    <row r="364" spans="8:17" ht="18.75" x14ac:dyDescent="0.3">
      <c r="H364" s="28"/>
      <c r="Q364" s="28"/>
    </row>
    <row r="366" spans="8:17" ht="18.75" x14ac:dyDescent="0.3">
      <c r="H366" s="28"/>
      <c r="Q366" s="28"/>
    </row>
    <row r="369" spans="17:17" ht="18.75" x14ac:dyDescent="0.3">
      <c r="Q369" s="28"/>
    </row>
    <row r="393" spans="8:17" ht="18.75" x14ac:dyDescent="0.3">
      <c r="Q393" s="28"/>
    </row>
    <row r="394" spans="8:17" ht="18.75" x14ac:dyDescent="0.3">
      <c r="H394" s="28"/>
      <c r="Q394" s="28"/>
    </row>
    <row r="395" spans="8:17" ht="18.75" x14ac:dyDescent="0.3">
      <c r="H395" s="28"/>
      <c r="Q395" s="28"/>
    </row>
    <row r="396" spans="8:17" ht="18.75" x14ac:dyDescent="0.3">
      <c r="H396" s="28"/>
      <c r="Q396" s="28"/>
    </row>
    <row r="397" spans="8:17" ht="18.75" x14ac:dyDescent="0.3">
      <c r="H397" s="28"/>
      <c r="Q397" s="28"/>
    </row>
    <row r="398" spans="8:17" ht="18.75" x14ac:dyDescent="0.3">
      <c r="H398" s="28"/>
      <c r="Q398" s="28"/>
    </row>
    <row r="399" spans="8:17" ht="18.75" x14ac:dyDescent="0.3">
      <c r="H399" s="28"/>
      <c r="Q399" s="28"/>
    </row>
    <row r="401" spans="8:17" ht="18.75" x14ac:dyDescent="0.3">
      <c r="H401" s="28"/>
      <c r="Q401" s="28"/>
    </row>
    <row r="455" spans="13:13" ht="18.75" x14ac:dyDescent="0.3">
      <c r="M455" s="29"/>
    </row>
    <row r="456" spans="13:13" ht="18.75" x14ac:dyDescent="0.3">
      <c r="M456" s="1" t="s">
        <v>35</v>
      </c>
    </row>
  </sheetData>
  <mergeCells count="32"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</mergeCells>
  <pageMargins left="0.70866141732283472" right="0.70866141732283472" top="0.74803149606299213" bottom="0.51181102362204722" header="0.31496062992125984" footer="0.31496062992125984"/>
  <pageSetup scale="60" firstPageNumber="76" orientation="landscape" useFirstPageNumber="1" r:id="rId1"/>
  <rowBreaks count="1" manualBreakCount="1">
    <brk id="1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Monthly_Template</vt:lpstr>
      <vt:lpstr>Monthly_Template!\x</vt:lpstr>
      <vt:lpstr>Monthly_Template!Print_Area</vt:lpstr>
      <vt:lpstr>Monthly_Template!Print_Area_MI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2025-02-24T11:44:52Z</cp:lastPrinted>
  <dcterms:created xsi:type="dcterms:W3CDTF">2021-03-02T10:01:37Z</dcterms:created>
  <dcterms:modified xsi:type="dcterms:W3CDTF">2026-09-14T05:37:32Z</dcterms:modified>
</cp:coreProperties>
</file>